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18301e520f47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c87709ed43a47a6"/>
    <x:sheet xmlns:r="http://schemas.openxmlformats.org/officeDocument/2006/relationships" name="Segment Analysis" sheetId="2" r:id="Rf7b873bd9441490b"/>
    <x:sheet xmlns:r="http://schemas.openxmlformats.org/officeDocument/2006/relationships" name="Cohorts" sheetId="3" r:id="R330c41560f7a4168"/>
    <x:sheet xmlns:r="http://schemas.openxmlformats.org/officeDocument/2006/relationships" name="Account Analysis" sheetId="4" r:id="R9d14567fd2b249b4"/>
    <x:sheet xmlns:r="http://schemas.openxmlformats.org/officeDocument/2006/relationships" name="Churn Reasons" sheetId="5" r:id="R22e7197c42e0487f"/>
    <x:sheet xmlns:r="http://schemas.openxmlformats.org/officeDocument/2006/relationships" name="Source Summary" sheetId="6" r:id="R282502c3e93344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$#,##0"/>
    <x:numFmt numFmtId="202" formatCode="0.0"/>
    <x:numFmt numFmtId="203" formatCode="0.0%"/>
    <x:numFmt numFmtId="204" formatCode="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243447"/>
      <x:name val="Carlito"/>
    </x:font>
    <x:font>
      <x:b/>
      <x:sz val="18"/>
      <x:color rgb="FF243447"/>
      <x:name val="Carlito"/>
    </x:font>
    <x:font>
      <x:b/>
      <x:sz val="11"/>
      <x:color rgb="FF24344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5F7FA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</x:fills>
  <x:borders count="14">
    <x:border/>
    <x:border/>
    <x:border>
      <x:left style="thin">
        <x:color rgb="FFD5DCE3"/>
      </x:left>
      <x:top style="thin">
        <x:color rgb="FFD5DCE3"/>
      </x:top>
    </x:border>
    <x:border>
      <x:top style="thin">
        <x:color rgb="FFD5DCE3"/>
      </x:top>
    </x:border>
    <x:border>
      <x:right style="thin">
        <x:color rgb="FFD5DCE3"/>
      </x:right>
      <x:top style="thin">
        <x:color rgb="FFD5DCE3"/>
      </x:top>
    </x:border>
    <x:border>
      <x:left style="thin">
        <x:color rgb="FFD5DCE3"/>
      </x:left>
      <x:bottom style="thin">
        <x:color rgb="FFD5DCE3"/>
      </x:bottom>
    </x:border>
    <x:border>
      <x:bottom style="thin">
        <x:color rgb="FFD5DCE3"/>
      </x:bottom>
    </x:border>
    <x:border>
      <x:right style="thin">
        <x:color rgb="FFD5DCE3"/>
      </x:right>
      <x:bottom style="thin">
        <x:color rgb="FFD5DCE3"/>
      </x:bottom>
    </x:border>
    <x:border>
      <x:left style="thin">
        <x:color rgb="FFD5DCE3"/>
      </x:left>
      <x:top style="thin">
        <x:color rgb="FFD5DCE3"/>
      </x:top>
    </x:border>
    <x:border>
      <x:top style="thin">
        <x:color rgb="FFD5DCE3"/>
      </x:top>
    </x:border>
    <x:border>
      <x:right style="thin">
        <x:color rgb="FFD5DCE3"/>
      </x:right>
      <x:top style="thin">
        <x:color rgb="FFD5DCE3"/>
      </x:top>
    </x:border>
    <x:border>
      <x:left style="thin">
        <x:color rgb="FFD5DCE3"/>
      </x:left>
      <x:bottom style="thin">
        <x:color rgb="FFD5DCE3"/>
      </x:bottom>
    </x:border>
    <x:border>
      <x:bottom style="thin">
        <x:color rgb="FFD5DCE3"/>
      </x:bottom>
    </x:border>
    <x:border>
      <x:right style="thin">
        <x:color rgb="FFD5DCE3"/>
      </x:right>
      <x:bottom style="thin">
        <x:color rgb="FFD5DCE3"/>
      </x:bottom>
    </x:border>
  </x:borders>
  <x:cellStyleXfs count="1">
    <x:xf numFmtId="0" fontId="0" fillId="0" borderId="0"/>
  </x:cellStyleXfs>
  <x:cellXfs count="12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7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4" fillId="5" borderId="7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8" xfId="0" applyNumberFormat="1" applyFont="1" applyFill="1" applyBorder="1" applyAlignment="1">
      <x:alignment horizontal="center"/>
    </x:xf>
    <x:xf numFmtId="0" fontId="4" fillId="5" borderId="9" xfId="0" applyNumberFormat="1" applyFont="1" applyFill="1" applyBorder="1" applyAlignment="1">
      <x:alignment horizontal="center"/>
    </x:xf>
    <x:xf numFmtId="0" fontId="4" fillId="5" borderId="10" xfId="0" applyNumberFormat="1" applyFont="1" applyFill="1" applyBorder="1" applyAlignment="1">
      <x:alignment horizontal="center"/>
    </x:xf>
    <x:xf numFmtId="0" fontId="4" fillId="5" borderId="11" xfId="0" applyNumberFormat="1" applyFont="1" applyFill="1" applyBorder="1" applyAlignment="1">
      <x:alignment horizontal="center"/>
    </x:xf>
    <x:xf numFmtId="0" fontId="4" fillId="5" borderId="12" xfId="0" applyNumberFormat="1" applyFont="1" applyFill="1" applyBorder="1" applyAlignment="1">
      <x:alignment horizontal="center"/>
    </x:xf>
    <x:xf numFmtId="0" fontId="4" fillId="5" borderId="13" xfId="0" applyNumberFormat="1" applyFont="1" applyFill="1" applyBorder="1" applyAlignment="1">
      <x:alignment horizontal="center"/>
    </x:xf>
    <x:xf numFmtId="0" fontId="4" fillId="5" borderId="8" xfId="0" applyNumberFormat="1" applyFont="1" applyFill="1" applyBorder="1" applyAlignment="1">
      <x:alignment horizontal="center" vertical="center"/>
    </x:xf>
    <x:xf numFmtId="0" fontId="4" fillId="5" borderId="9" xfId="0" applyNumberFormat="1" applyFont="1" applyFill="1" applyBorder="1" applyAlignment="1">
      <x:alignment horizontal="center" vertical="center"/>
    </x:xf>
    <x:xf numFmtId="0" fontId="4" fillId="5" borderId="10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center" vertical="center"/>
    </x:xf>
    <x:xf numFmtId="0" fontId="4" fillId="5" borderId="12" xfId="0" applyNumberFormat="1" applyFont="1" applyFill="1" applyBorder="1" applyAlignment="1">
      <x:alignment horizontal="center" vertical="center"/>
    </x:xf>
    <x:xf numFmtId="0" fontId="4" fillId="5" borderId="13" xfId="0" applyNumberFormat="1" applyFont="1" applyFill="1" applyBorder="1" applyAlignment="1">
      <x:alignment horizontal="center" vertical="center"/>
    </x:xf>
    <x:xf numFmtId="203" fontId="4" fillId="5" borderId="2" xfId="0" applyNumberFormat="1" applyFont="1" applyFill="1" applyBorder="1" applyAlignment="1">
      <x:alignment horizontal="center" vertical="center"/>
    </x:xf>
    <x:xf numFmtId="203" fontId="4" fillId="5" borderId="3" xfId="0" applyNumberFormat="1" applyFont="1" applyFill="1" applyBorder="1" applyAlignment="1">
      <x:alignment horizontal="center" vertical="center"/>
    </x:xf>
    <x:xf numFmtId="203" fontId="4" fillId="5" borderId="4" xfId="0" applyNumberFormat="1" applyFont="1" applyFill="1" applyBorder="1" applyAlignment="1">
      <x:alignment horizontal="center" vertical="center"/>
    </x:xf>
    <x:xf numFmtId="203" fontId="4" fillId="5" borderId="5" xfId="0" applyNumberFormat="1" applyFont="1" applyFill="1" applyBorder="1" applyAlignment="1">
      <x:alignment horizontal="center" vertical="center"/>
    </x:xf>
    <x:xf numFmtId="203" fontId="4" fillId="5" borderId="6" xfId="0" applyNumberFormat="1" applyFont="1" applyFill="1" applyBorder="1" applyAlignment="1">
      <x:alignment horizontal="center" vertical="center"/>
    </x:xf>
    <x:xf numFmtId="203" fontId="4" fillId="5" borderId="7" xfId="0" applyNumberFormat="1" applyFont="1" applyFill="1" applyBorder="1" applyAlignment="1">
      <x:alignment horizontal="center" vertical="center"/>
    </x:xf>
    <x:xf numFmtId="203" fontId="4" fillId="5" borderId="8" xfId="0" applyNumberFormat="1" applyFont="1" applyFill="1" applyBorder="1" applyAlignment="1">
      <x:alignment horizontal="center" vertical="center"/>
    </x:xf>
    <x:xf numFmtId="203" fontId="4" fillId="5" borderId="9" xfId="0" applyNumberFormat="1" applyFont="1" applyFill="1" applyBorder="1" applyAlignment="1">
      <x:alignment horizontal="center" vertical="center"/>
    </x:xf>
    <x:xf numFmtId="203" fontId="4" fillId="5" borderId="10" xfId="0" applyNumberFormat="1" applyFont="1" applyFill="1" applyBorder="1" applyAlignment="1">
      <x:alignment horizontal="center" vertical="center"/>
    </x:xf>
    <x:xf numFmtId="203" fontId="4" fillId="5" borderId="11" xfId="0" applyNumberFormat="1" applyFont="1" applyFill="1" applyBorder="1" applyAlignment="1">
      <x:alignment horizontal="center" vertical="center"/>
    </x:xf>
    <x:xf numFmtId="203" fontId="4" fillId="5" borderId="12" xfId="0" applyNumberFormat="1" applyFont="1" applyFill="1" applyBorder="1" applyAlignment="1">
      <x:alignment horizontal="center" vertical="center"/>
    </x:xf>
    <x:xf numFmtId="203" fontId="4" fillId="5" borderId="13" xfId="0" applyNumberFormat="1" applyFont="1" applyFill="1" applyBorder="1" applyAlignment="1">
      <x:alignment horizontal="center" vertical="center"/>
    </x:xf>
    <x:xf numFmtId="204" fontId="4" fillId="5" borderId="2" xfId="0" applyNumberFormat="1" applyFont="1" applyFill="1" applyBorder="1" applyAlignment="1">
      <x:alignment horizontal="center" vertical="center"/>
    </x:xf>
    <x:xf numFmtId="204" fontId="4" fillId="5" borderId="3" xfId="0" applyNumberFormat="1" applyFont="1" applyFill="1" applyBorder="1" applyAlignment="1">
      <x:alignment horizontal="center" vertical="center"/>
    </x:xf>
    <x:xf numFmtId="204" fontId="4" fillId="5" borderId="4" xfId="0" applyNumberFormat="1" applyFont="1" applyFill="1" applyBorder="1" applyAlignment="1">
      <x:alignment horizontal="center" vertical="center"/>
    </x:xf>
    <x:xf numFmtId="204" fontId="4" fillId="5" borderId="5" xfId="0" applyNumberFormat="1" applyFont="1" applyFill="1" applyBorder="1" applyAlignment="1">
      <x:alignment horizontal="center" vertical="center"/>
    </x:xf>
    <x:xf numFmtId="204" fontId="4" fillId="5" borderId="6" xfId="0" applyNumberFormat="1" applyFont="1" applyFill="1" applyBorder="1" applyAlignment="1">
      <x:alignment horizontal="center" vertical="center"/>
    </x:xf>
    <x:xf numFmtId="204" fontId="4" fillId="5" borderId="7" xfId="0" applyNumberFormat="1" applyFont="1" applyFill="1" applyBorder="1" applyAlignment="1">
      <x:alignment horizontal="center" vertical="center"/>
    </x:xf>
    <x:xf numFmtId="204" fontId="4" fillId="5" borderId="8" xfId="0" applyNumberFormat="1" applyFont="1" applyFill="1" applyBorder="1" applyAlignment="1">
      <x:alignment horizontal="center" vertical="center"/>
    </x:xf>
    <x:xf numFmtId="204" fontId="4" fillId="5" borderId="9" xfId="0" applyNumberFormat="1" applyFont="1" applyFill="1" applyBorder="1" applyAlignment="1">
      <x:alignment horizontal="center" vertical="center"/>
    </x:xf>
    <x:xf numFmtId="204" fontId="4" fillId="5" borderId="10" xfId="0" applyNumberFormat="1" applyFont="1" applyFill="1" applyBorder="1" applyAlignment="1">
      <x:alignment horizontal="center" vertical="center"/>
    </x:xf>
    <x:xf numFmtId="204" fontId="4" fillId="5" borderId="11" xfId="0" applyNumberFormat="1" applyFont="1" applyFill="1" applyBorder="1" applyAlignment="1">
      <x:alignment horizontal="center" vertical="center"/>
    </x:xf>
    <x:xf numFmtId="204" fontId="4" fillId="5" borderId="12" xfId="0" applyNumberFormat="1" applyFont="1" applyFill="1" applyBorder="1" applyAlignment="1">
      <x:alignment horizontal="center" vertical="center"/>
    </x:xf>
    <x:xf numFmtId="204" fontId="4" fillId="5" borderId="13" xfId="0" applyNumberFormat="1" applyFont="1" applyFill="1" applyBorder="1" applyAlignment="1">
      <x:alignment horizontal="center" vertical="center"/>
    </x:xf>
    <x:xf numFmtId="201" fontId="4" fillId="5" borderId="2" xfId="0" applyNumberFormat="1" applyFont="1" applyFill="1" applyBorder="1" applyAlignment="1">
      <x:alignment horizontal="center" vertical="center"/>
    </x:xf>
    <x:xf numFmtId="201" fontId="4" fillId="5" borderId="3" xfId="0" applyNumberFormat="1" applyFont="1" applyFill="1" applyBorder="1" applyAlignment="1">
      <x:alignment horizontal="center" vertical="center"/>
    </x:xf>
    <x:xf numFmtId="201" fontId="4" fillId="5" borderId="4" xfId="0" applyNumberFormat="1" applyFont="1" applyFill="1" applyBorder="1" applyAlignment="1">
      <x:alignment horizontal="center" vertical="center"/>
    </x:xf>
    <x:xf numFmtId="201" fontId="4" fillId="5" borderId="5" xfId="0" applyNumberFormat="1" applyFont="1" applyFill="1" applyBorder="1" applyAlignment="1">
      <x:alignment horizontal="center" vertical="center"/>
    </x:xf>
    <x:xf numFmtId="201" fontId="4" fillId="5" borderId="6" xfId="0" applyNumberFormat="1" applyFont="1" applyFill="1" applyBorder="1" applyAlignment="1">
      <x:alignment horizontal="center" vertical="center"/>
    </x:xf>
    <x:xf numFmtId="201" fontId="4" fillId="5" borderId="7" xfId="0" applyNumberFormat="1" applyFont="1" applyFill="1" applyBorder="1" applyAlignment="1">
      <x:alignment horizontal="center" vertical="center"/>
    </x:xf>
    <x:xf numFmtId="201" fontId="4" fillId="5" borderId="8" xfId="0" applyNumberFormat="1" applyFont="1" applyFill="1" applyBorder="1" applyAlignment="1">
      <x:alignment horizontal="center" vertical="center"/>
    </x:xf>
    <x:xf numFmtId="201" fontId="4" fillId="5" borderId="9" xfId="0" applyNumberFormat="1" applyFont="1" applyFill="1" applyBorder="1" applyAlignment="1">
      <x:alignment horizontal="center" vertical="center"/>
    </x:xf>
    <x:xf numFmtId="201" fontId="4" fillId="5" borderId="10" xfId="0" applyNumberFormat="1" applyFont="1" applyFill="1" applyBorder="1" applyAlignment="1">
      <x:alignment horizontal="center" vertical="center"/>
    </x:xf>
    <x:xf numFmtId="201" fontId="4" fillId="5" borderId="11" xfId="0" applyNumberFormat="1" applyFont="1" applyFill="1" applyBorder="1" applyAlignment="1">
      <x:alignment horizontal="center" vertical="center"/>
    </x:xf>
    <x:xf numFmtId="201" fontId="4" fillId="5" borderId="12" xfId="0" applyNumberFormat="1" applyFont="1" applyFill="1" applyBorder="1" applyAlignment="1">
      <x:alignment horizontal="center" vertical="center"/>
    </x:xf>
    <x:xf numFmtId="201" fontId="4" fillId="5" borderId="13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1" fillId="4" borderId="0" xfId="0" applyNumberFormat="1" applyFont="1" applyFill="1" applyBorder="1" applyAlignment="1">
      <x:alignment vertical="center"/>
    </x:xf>
    <x:xf numFmtId="203" fontId="1" fillId="4" borderId="1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C94C4C"/>
      </x:font>
      <x:fill>
        <x:patternFill patternType="solid">
          <x:bgColor rgb="FFFCE8E6"/>
        </x:patternFill>
      </x:fill>
    </x:dxf>
    <x:dxf>
      <x:font>
        <x:b/>
        <x:color rgb="FFC94C4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5715175b164998" /><Relationship Type="http://schemas.openxmlformats.org/officeDocument/2006/relationships/theme" Target="/xl/theme/theme1.xml" Id="Rab9eb9603af7454a" /><Relationship Type="http://schemas.microsoft.com/office/2022/11/relationships/FeaturePropertyBag" Target="/xl/featurePropertyBag/featurePropertyBag.xml" Id="Rf91fc4571e7e4a69" /><Relationship Type="http://schemas.openxmlformats.org/officeDocument/2006/relationships/sharedStrings" Target="/xl/sharedStrings.xml" Id="R6550eefe02e741ea" /><Relationship Type="http://schemas.openxmlformats.org/officeDocument/2006/relationships/worksheet" Target="/xl/worksheets/sheet1.xml" Id="Rfc87709ed43a47a6" /><Relationship Type="http://schemas.openxmlformats.org/officeDocument/2006/relationships/worksheet" Target="/xl/worksheets/sheet2.xml" Id="Rf7b873bd9441490b" /><Relationship Type="http://schemas.openxmlformats.org/officeDocument/2006/relationships/worksheet" Target="/xl/worksheets/sheet3.xml" Id="R330c41560f7a4168" /><Relationship Type="http://schemas.openxmlformats.org/officeDocument/2006/relationships/worksheet" Target="/xl/worksheets/sheet4.xml" Id="R9d14567fd2b249b4" /><Relationship Type="http://schemas.openxmlformats.org/officeDocument/2006/relationships/worksheet" Target="/xl/worksheets/sheet5.xml" Id="R22e7197c42e0487f" /><Relationship Type="http://schemas.openxmlformats.org/officeDocument/2006/relationships/worksheet" Target="/xl/worksheets/sheet6.xml" Id="R282502c3e93344b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d968534f46f4428" /><Relationship Type="http://schemas.openxmlformats.org/officeDocument/2006/relationships/chart" Target="/xl/drawings/charts/chart2.xml" Id="R0034eefa609a4c8d" /><Relationship Type="http://schemas.openxmlformats.org/officeDocument/2006/relationships/chart" Target="/xl/drawings/charts/chart3.xml" Id="Rff179500831d47e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bbbbda9d77cb4a4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d1c086dca4bf412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Churn Rate by Industry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Churn Rate</c:v>
          </c:tx>
          <c:cat>
            <c:strRef>
              <c:f>'Dashboard'!$A$18:$A$22</c:f>
              <c:strCache>
                <c:ptCount val="0"/>
              </c:strCache>
            </c:strRef>
          </c:cat>
          <c:val>
            <c:numRef>
              <c:f>'Dashboard'!$B$18:$B$22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Churn Rate by Acquisition Source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Churn Rate</c:v>
          </c:tx>
          <c:cat>
            <c:strRef>
              <c:f>'Dashboard'!$D$18:$D$22</c:f>
              <c:strCache>
                <c:ptCount val="0"/>
              </c:strCache>
            </c:strRef>
          </c:cat>
          <c:val>
            <c:numRef>
              <c:f>'Dashboard'!$E$18:$E$22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Current Churn Reasons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Accounts</c:v>
          </c:tx>
          <c:cat>
            <c:strRef>
              <c:f>'Dashboard'!$G$18:$G$23</c:f>
              <c:strCache>
                <c:ptCount val="0"/>
              </c:strCache>
            </c:strRef>
          </c:cat>
          <c:val>
            <c:numRef>
              <c:f>'Dashboard'!$H$18:$H$23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Retention Rate by Signup Cohort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Customers</c:v>
          </c:tx>
          <c:cat>
            <c:strRef>
              <c:f>'Cohorts'!$A$5:$A$28</c:f>
              <c:strCache>
                <c:ptCount val="0"/>
              </c:strCache>
            </c:strRef>
          </c:cat>
          <c:val>
            <c:numRef>
              <c:f>'Cohorts'!$B$5:$B$28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Churned</c:v>
          </c:tx>
          <c:cat>
            <c:strRef>
              <c:f>'Cohorts'!$A$5:$A$28</c:f>
              <c:strCache>
                <c:ptCount val="0"/>
              </c:strCache>
            </c:strRef>
          </c:cat>
          <c:val>
            <c:numRef>
              <c:f>'Cohorts'!$C$5:$C$28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Retained</c:v>
          </c:tx>
          <c:cat>
            <c:strRef>
              <c:f>'Cohorts'!$A$5:$A$28</c:f>
              <c:strCache>
                <c:ptCount val="0"/>
              </c:strCache>
            </c:strRef>
          </c:cat>
          <c:val>
            <c:numRef>
              <c:f>'Cohorts'!$D$5:$D$28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Retention Rate</c:v>
          </c:tx>
          <c:cat>
            <c:strRef>
              <c:f>'Cohorts'!$A$5:$A$28</c:f>
              <c:strCache>
                <c:ptCount val="0"/>
              </c:strCache>
            </c:strRef>
          </c:cat>
          <c:val>
            <c:numRef>
              <c:f>'Cohorts'!$E$5:$E$28</c:f>
              <c:numCache>
                <c:formatCode>0.0%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Churned Accounts by Reason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Churned Accounts</c:v>
          </c:tx>
          <c:cat>
            <c:strRef>
              <c:f>'Churn Reasons'!$A$5:$A$10</c:f>
              <c:strCache>
                <c:ptCount val="0"/>
              </c:strCache>
            </c:strRef>
          </c:cat>
          <c:val>
            <c:numRef>
              <c:f>'Churn Reasons'!$B$5:$B$10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24</xdr:row>
      <xdr:rowOff>0</xdr:rowOff>
    </xdr:from>
    <xdr:to>
      <xdr:col>6</xdr:col>
      <xdr:colOff>0</xdr:colOff>
      <xdr:row>41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968534f46f4428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12</xdr:col>
      <xdr:colOff>0</xdr:colOff>
      <xdr:row>41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34eefa609a4c8d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6</xdr:col>
      <xdr:colOff>0</xdr:colOff>
      <xdr:row>59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179500831d47e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bbbda9d77cb4a4f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c086dca4bf412b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ccountAnalysisTable" displayName="AccountAnalysisTable" ref="A1:AA501" headerRowCount="1">
  <x:tableColumns count="27">
    <x:tableColumn id="1" name="account_id"/>
    <x:tableColumn id="2" name="account_name"/>
    <x:tableColumn id="3" name="industry"/>
    <x:tableColumn id="4" name="country"/>
    <x:tableColumn id="5" name="signup_date"/>
    <x:tableColumn id="6" name="signup_month"/>
    <x:tableColumn id="7" name="referral_source"/>
    <x:tableColumn id="8" name="plan_tier"/>
    <x:tableColumn id="9" name="seats"/>
    <x:tableColumn id="10" name="is_trial"/>
    <x:tableColumn id="11" name="churn_flag"/>
    <x:tableColumn id="12" name="tenure_days"/>
    <x:tableColumn id="13" name="latest_churn_reason"/>
    <x:tableColumn id="14" name="churn_events"/>
    <x:tableColumn id="15" name="subscription_count"/>
    <x:tableColumn id="16" name="active_mrr"/>
    <x:tableColumn id="17" name="upgrades"/>
    <x:tableColumn id="18" name="downgrades"/>
    <x:tableColumn id="19" name="usage_count_total"/>
    <x:tableColumn id="20" name="usage_hours_total"/>
    <x:tableColumn id="21" name="usage_errors_total"/>
    <x:tableColumn id="22" name="features_used"/>
    <x:tableColumn id="23" name="ticket_count"/>
    <x:tableColumn id="24" name="avg_resolution_hours"/>
    <x:tableColumn id="25" name="avg_first_response_min"/>
    <x:tableColumn id="26" name="avg_satisfaction"/>
    <x:tableColumn id="27" name="escalation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50e5da80b6148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3099cf135a9946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e38685f457d743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801024b77d3c43e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6" hidden="0" customWidth="1"/>
    <x:col min="7" max="7" width="10" hidden="0" customWidth="1"/>
    <x:col min="8" max="8" width="48" hidden="0" customWidth="1"/>
  </x:cols>
  <x:sheetData>
    <x:row r="1" ht="20" customHeight="1">
      <x:c r="A1" s="21" t="str">
        <x:v>RavenStack Customer Retention &amp; Churn Dashboard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</x:row>
    <x:row r="2" ht="20" customHeight="1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3" ht="20" customHeight="1">
      <x:c r="A3" s="25" t="str">
        <x:v>Executive view | Analysis through 2024-12-31 | 500 customer accounts</x:v>
      </x:c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</x:row>
    <x:row r="4" ht="20" customHeight="1"/>
    <x:row r="5" ht="20" customHeight="1">
      <x:c r="A5" s="30" t="str">
        <x:v>Customer Churn Rate</x:v>
      </x:c>
      <x:c r="B5" s="30"/>
      <x:c r="C5" s="30"/>
      <x:c r="D5" s="30" t="str">
        <x:v>Retained Accounts</x:v>
      </x:c>
      <x:c r="E5" s="30"/>
      <x:c r="F5" s="30"/>
      <x:c r="G5" s="30" t="str">
        <x:v>Median Lifetime (Days)</x:v>
      </x:c>
      <x:c r="H5" s="30"/>
      <x:c r="I5" s="30"/>
      <x:c r="J5" s="30" t="str">
        <x:v>Active MRR</x:v>
      </x:c>
      <x:c r="K5" s="30"/>
      <x:c r="L5" s="30"/>
    </x:row>
    <x:row r="6" ht="20" customHeight="1">
      <x:c r="A6" s="74" t="n">
        <x:f>COUNTIF('Account Analysis'!K2:K501,"Churned")/COUNTA('Account Analysis'!A2:A501)</x:f>
        <x:v>0.22</x:v>
      </x:c>
      <x:c r="B6" s="75"/>
      <x:c r="C6" s="76"/>
      <x:c r="D6" s="86" t="n">
        <x:f>COUNTIF('Account Analysis'!K2:K501,"Active")</x:f>
        <x:v>390</x:v>
      </x:c>
      <x:c r="E6" s="87"/>
      <x:c r="F6" s="88"/>
      <x:c r="G6" s="86" t="n">
        <x:f>MEDIAN('Account Analysis'!L2:L501)</x:f>
        <x:v>297.5</x:v>
      </x:c>
      <x:c r="H6" s="87"/>
      <x:c r="I6" s="88"/>
      <x:c r="J6" s="98" t="n">
        <x:f>SUM('Account Analysis'!P2:P501)</x:f>
        <x:v>10159608</x:v>
      </x:c>
      <x:c r="K6" s="99"/>
      <x:c r="L6" s="100"/>
    </x:row>
    <x:row r="7" ht="20" customHeight="1">
      <x:c r="A7" s="77"/>
      <x:c r="B7" s="78"/>
      <x:c r="C7" s="79"/>
      <x:c r="D7" s="89"/>
      <x:c r="E7" s="90"/>
      <x:c r="F7" s="91"/>
      <x:c r="G7" s="89"/>
      <x:c r="H7" s="90"/>
      <x:c r="I7" s="91"/>
      <x:c r="J7" s="101"/>
      <x:c r="K7" s="102"/>
      <x:c r="L7" s="103"/>
    </x:row>
    <x:row r="8" ht="20" customHeight="1"/>
    <x:row r="9" ht="20" customHeight="1">
      <x:c r="A9" s="30" t="str">
        <x:v>What the data says</x:v>
      </x:c>
      <x:c r="B9" s="30"/>
      <x:c r="C9" s="30"/>
      <x:c r="D9" s="30"/>
      <x:c r="E9" s="30"/>
      <x:c r="F9" s="30"/>
      <x:c r="G9" s="30" t="str">
        <x:v>Recommended actions</x:v>
      </x:c>
      <x:c r="H9" s="30"/>
      <x:c r="I9" s="30"/>
      <x:c r="J9" s="30"/>
      <x:c r="K9" s="30"/>
      <x:c r="L9" s="30"/>
    </x:row>
    <x:row r="10" ht="20" customHeight="1">
      <x:c r="A10" s="114" t="str">
        <x:v>Finding</x:v>
      </x:c>
      <x:c r="B10" s="114" t="str">
        <x:v>Business interpretation</x:v>
      </x:c>
      <x:c r="C10" t="str"/>
      <x:c r="D10" t="str"/>
      <x:c r="E10" t="str"/>
      <x:c r="F10" t="str"/>
      <x:c r="G10" s="114" t="str">
        <x:v>Priority</x:v>
      </x:c>
      <x:c r="H10" s="114" t="str">
        <x:v>Action</x:v>
      </x:c>
      <x:c r="I10" t="str"/>
      <x:c r="J10" t="str"/>
      <x:c r="K10" t="str"/>
      <x:c r="L10" t="str"/>
    </x:row>
    <x:row r="11" ht="20" customHeight="1">
      <x:c r="A11" s="110" t="str">
        <x:v>Highest-risk industry</x:v>
      </x:c>
      <x:c r="B11" s="110" t="str">
        <x:v>DevTools customers show the highest account churn rate.</x:v>
      </x:c>
      <x:c r="C11" t="str"/>
      <x:c r="D11" t="str"/>
      <x:c r="E11" t="str"/>
      <x:c r="F11" t="str"/>
      <x:c r="G11" s="110" t="str">
        <x:v>1</x:v>
      </x:c>
      <x:c r="H11" s="110" t="str">
        <x:v>Build a DevTools retention playbook: onboarding check-ins, feature adoption prompts, and proactive success outreach.</x:v>
      </x:c>
      <x:c r="I11" t="str"/>
      <x:c r="J11" t="str"/>
      <x:c r="K11" t="str"/>
      <x:c r="L11" t="str"/>
    </x:row>
    <x:row r="12" ht="20" customHeight="1">
      <x:c r="A12" s="110" t="str">
        <x:v>Acquisition quality</x:v>
      </x:c>
      <x:c r="B12" s="110" t="str">
        <x:v>Event-sourced accounts churn materially more than partner/organic accounts.</x:v>
      </x:c>
      <x:c r="C12" t="str"/>
      <x:c r="D12" t="str"/>
      <x:c r="E12" t="str"/>
      <x:c r="F12" t="str"/>
      <x:c r="G12" s="110" t="str">
        <x:v>2</x:v>
      </x:c>
      <x:c r="H12" s="110" t="str">
        <x:v>Audit event acquisition campaigns and tighten qualification / expectation-setting before conversion.</x:v>
      </x:c>
      <x:c r="I12" t="str"/>
      <x:c r="J12" t="str"/>
      <x:c r="K12" t="str"/>
      <x:c r="L12" t="str"/>
    </x:row>
    <x:row r="13" ht="20" customHeight="1">
      <x:c r="A13" s="110" t="str">
        <x:v>Trial risk</x:v>
      </x:c>
      <x:c r="B13" s="110" t="str">
        <x:v>Trial-origin accounts have higher churn than non-trial accounts.</x:v>
      </x:c>
      <x:c r="C13" t="str"/>
      <x:c r="D13" t="str"/>
      <x:c r="E13" t="str"/>
      <x:c r="F13" t="str"/>
      <x:c r="G13" s="110" t="str">
        <x:v>3</x:v>
      </x:c>
      <x:c r="H13" s="110" t="str">
        <x:v>Strengthen trial-to-paid onboarding with activation milestones during the first weeks.</x:v>
      </x:c>
      <x:c r="I13" t="str"/>
      <x:c r="J13" t="str"/>
      <x:c r="K13" t="str"/>
      <x:c r="L13" t="str"/>
    </x:row>
    <x:row r="14" ht="20" customHeight="1">
      <x:c r="A14" s="110" t="str">
        <x:v>Primary churn themes</x:v>
      </x:c>
      <x:c r="B14" s="110" t="str">
        <x:v>Feature gaps, support, and budget are the largest recorded churn reasons.</x:v>
      </x:c>
      <x:c r="C14" t="str"/>
      <x:c r="D14" t="str"/>
      <x:c r="E14" t="str"/>
      <x:c r="F14" t="str"/>
      <x:c r="G14" s="110" t="str">
        <x:v>4</x:v>
      </x:c>
      <x:c r="H14" s="110" t="str">
        <x:v>Close feature and support gaps behind churn feedback; pair reason codes with account-level usage and ticket context.</x:v>
      </x:c>
      <x:c r="I14" t="str"/>
      <x:c r="J14" t="str"/>
      <x:c r="K14" t="str"/>
      <x:c r="L14" t="str"/>
    </x:row>
    <x:row r="15" ht="20" customHeight="1"/>
    <x:row r="16" ht="20" customHeight="1"/>
    <x:row r="17" ht="20" customHeight="1">
      <x:c r="A17" s="8" t="str">
        <x:v>Industry</x:v>
      </x:c>
      <x:c r="B17" s="8" t="str">
        <x:v>Churn Rate</x:v>
      </x:c>
      <x:c r="D17" s="8" t="str">
        <x:v>Referral Source</x:v>
      </x:c>
      <x:c r="E17" s="8" t="str">
        <x:v>Churn Rate</x:v>
      </x:c>
      <x:c r="G17" s="8" t="str">
        <x:v>Churn Reason</x:v>
      </x:c>
      <x:c r="H17" s="8" t="str">
        <x:v>Accounts</x:v>
      </x:c>
    </x:row>
    <x:row r="18" ht="20" customHeight="1">
      <x:c r="A18" t="str">
        <x:v>Cybersecurity</x:v>
      </x:c>
      <x:c r="B18" s="118" t="n">
        <x:f>COUNTIFS('Account Analysis'!C2:C501,A18,'Account Analysis'!K2:K501,"Churned")/COUNTIF('Account Analysis'!C2:C501,A18)</x:f>
        <x:v>0.16</x:v>
      </x:c>
      <x:c r="D18" t="str">
        <x:v>ads</x:v>
      </x:c>
      <x:c r="E18" s="118" t="n">
        <x:f>COUNTIFS('Account Analysis'!G2:G501,D18,'Account Analysis'!K2:K501,"Churned")/COUNTIF('Account Analysis'!G2:G501,D18)</x:f>
        <x:v>0.23469387755102042</x:v>
      </x:c>
      <x:c r="G18" t="str">
        <x:v>Features</x:v>
      </x:c>
      <x:c r="H18" t="n">
        <x:f>COUNTIF('Account Analysis'!M2:M501,"features")</x:f>
        <x:v>15</x:v>
      </x:c>
    </x:row>
    <x:row r="19" ht="20" customHeight="1">
      <x:c r="A19" t="str">
        <x:v>DevTools</x:v>
      </x:c>
      <x:c r="B19" s="118" t="n">
        <x:f>COUNTIFS('Account Analysis'!C2:C501,A19,'Account Analysis'!K2:K501,"Churned")/COUNTIF('Account Analysis'!C2:C501,A19)</x:f>
        <x:v>0.30973451327433627</x:v>
      </x:c>
      <x:c r="D19" t="str">
        <x:v>event</x:v>
      </x:c>
      <x:c r="E19" s="118" t="n">
        <x:f>COUNTIFS('Account Analysis'!G2:G501,D19,'Account Analysis'!K2:K501,"Churned")/COUNTIF('Account Analysis'!G2:G501,D19)</x:f>
        <x:v>0.3020833333333333</x:v>
      </x:c>
      <x:c r="G19" t="str">
        <x:v>Support</x:v>
      </x:c>
      <x:c r="H19" t="n">
        <x:f>COUNTIF('Account Analysis'!M2:M501,"support")</x:f>
        <x:v>14</x:v>
      </x:c>
    </x:row>
    <x:row r="20" ht="20" customHeight="1">
      <x:c r="A20" t="str">
        <x:v>EdTech</x:v>
      </x:c>
      <x:c r="B20" s="118" t="n">
        <x:f>COUNTIFS('Account Analysis'!C2:C501,A20,'Account Analysis'!K2:K501,"Churned")/COUNTIF('Account Analysis'!C2:C501,A20)</x:f>
        <x:v>0.16455696202531644</x:v>
      </x:c>
      <x:c r="D20" t="str">
        <x:v>organic</x:v>
      </x:c>
      <x:c r="E20" s="118" t="n">
        <x:f>COUNTIFS('Account Analysis'!G2:G501,D20,'Account Analysis'!K2:K501,"Churned")/COUNTIF('Account Analysis'!G2:G501,D20)</x:f>
        <x:v>0.17543859649122806</x:v>
      </x:c>
      <x:c r="G20" t="str">
        <x:v>Budget</x:v>
      </x:c>
      <x:c r="H20" t="n">
        <x:f>COUNTIF('Account Analysis'!M2:M501,"budget")</x:f>
        <x:v>17</x:v>
      </x:c>
    </x:row>
    <x:row r="21" ht="20" customHeight="1">
      <x:c r="A21" t="str">
        <x:v>FinTech</x:v>
      </x:c>
      <x:c r="B21" s="118" t="n">
        <x:f>COUNTIFS('Account Analysis'!C2:C501,A21,'Account Analysis'!K2:K501,"Churned")/COUNTIF('Account Analysis'!C2:C501,A21)</x:f>
        <x:v>0.22321428571428573</x:v>
      </x:c>
      <x:c r="D21" t="str">
        <x:v>other</x:v>
      </x:c>
      <x:c r="E21" s="118" t="n">
        <x:f>COUNTIFS('Account Analysis'!G2:G501,D21,'Account Analysis'!K2:K501,"Churned")/COUNTIF('Account Analysis'!G2:G501,D21)</x:f>
        <x:v>0.24271844660194175</x:v>
      </x:c>
      <x:c r="G21" t="str">
        <x:v>Unknown</x:v>
      </x:c>
      <x:c r="H21" t="n">
        <x:f>COUNTIF('Account Analysis'!M2:M501,"unknown")</x:f>
        <x:v>6</x:v>
      </x:c>
    </x:row>
    <x:row r="22" ht="20" customHeight="1">
      <x:c r="A22" t="str">
        <x:v>HealthTech</x:v>
      </x:c>
      <x:c r="B22" s="118" t="n">
        <x:f>COUNTIFS('Account Analysis'!C2:C501,A22,'Account Analysis'!K2:K501,"Churned")/COUNTIF('Account Analysis'!C2:C501,A22)</x:f>
        <x:v>0.21875</x:v>
      </x:c>
      <x:c r="D22" t="str">
        <x:v>partner</x:v>
      </x:c>
      <x:c r="E22" s="118" t="n">
        <x:f>COUNTIFS('Account Analysis'!G2:G501,D22,'Account Analysis'!K2:K501,"Churned")/COUNTIF('Account Analysis'!G2:G501,D22)</x:f>
        <x:v>0.14606741573033707</x:v>
      </x:c>
      <x:c r="G22" t="str">
        <x:v>Competitor</x:v>
      </x:c>
      <x:c r="H22" t="n">
        <x:f>COUNTIF('Account Analysis'!M2:M501,"competitor")</x:f>
        <x:v>7</x:v>
      </x:c>
    </x:row>
    <x:row r="23" ht="20" customHeight="1">
      <x:c r="G23" t="str">
        <x:v>Pricing</x:v>
      </x:c>
      <x:c r="H23" t="n">
        <x:f>COUNTIF('Account Analysis'!M2:M501,"pricing")</x:f>
        <x:v>16</x:v>
      </x:c>
    </x:row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  <x:row r="61" ht="20" customHeight="1"/>
    <x:row r="62" ht="20" customHeight="1"/>
    <x:row r="63" ht="20" customHeight="1"/>
    <x:row r="64" ht="20" customHeight="1"/>
    <x:row r="65" ht="20" customHeight="1"/>
    <x:row r="66" ht="20" customHeight="1"/>
    <x:row r="67" ht="20" customHeight="1"/>
    <x:row r="68" ht="20" customHeight="1"/>
    <x:row r="69" ht="20" customHeight="1"/>
    <x:row r="70" ht="20" customHeight="1"/>
    <x:row r="71" ht="20" customHeight="1"/>
    <x:row r="72" ht="20" customHeight="1"/>
    <x:row r="73" ht="20" customHeight="1"/>
    <x:row r="74" ht="20" customHeight="1"/>
    <x:row r="75" ht="20" customHeight="1"/>
    <x:row r="76" ht="20" customHeight="1"/>
    <x:row r="77" ht="20" customHeight="1"/>
    <x:row r="78" ht="20" customHeight="1"/>
    <x:row r="79" ht="20" customHeight="1"/>
    <x:row r="80" ht="20" customHeight="1"/>
    <x:row r="81" ht="20" customHeight="1"/>
    <x:row r="82" ht="20" customHeight="1"/>
    <x:row r="83" ht="20" customHeight="1"/>
    <x:row r="84" ht="20" customHeight="1"/>
    <x:row r="85" ht="20" customHeight="1"/>
    <x:row r="86" ht="20" customHeight="1"/>
    <x:row r="87" ht="20" customHeight="1"/>
    <x:row r="88" ht="20" customHeight="1"/>
    <x:row r="89" ht="20" customHeight="1"/>
    <x:row r="90" ht="20" customHeight="1"/>
    <x:row r="91" ht="20" customHeight="1"/>
    <x:row r="92" ht="20" customHeight="1"/>
    <x:row r="93" ht="20" customHeight="1"/>
    <x:row r="94" ht="20" customHeight="1"/>
    <x:row r="95" ht="20" customHeight="1"/>
    <x:row r="96" ht="20" customHeight="1"/>
    <x:row r="97" ht="20" customHeight="1"/>
    <x:row r="98" ht="20" customHeight="1"/>
    <x:row r="99" ht="20" customHeight="1"/>
    <x:row r="100" ht="20" customHeight="1"/>
  </x:sheetData>
  <x:mergeCells>
    <x:mergeCell ref="A1:L2"/>
    <x:mergeCell ref="A3:L3"/>
    <x:mergeCell ref="A5:C5"/>
    <x:mergeCell ref="A6:C7"/>
    <x:mergeCell ref="D5:F5"/>
    <x:mergeCell ref="D6:F7"/>
    <x:mergeCell ref="G5:I5"/>
    <x:mergeCell ref="G6:I7"/>
    <x:mergeCell ref="J5:L5"/>
    <x:mergeCell ref="J6:L7"/>
    <x:mergeCell ref="A9:F9"/>
    <x:mergeCell ref="G9:L9"/>
  </x:mergeCells>
  <x:pageMargins left="0.7" right="0.7" top="0.75" bottom="0.75" header="0.3" footer="0.3"/>
  <x:drawing xmlns:r="http://schemas.openxmlformats.org/officeDocument/2006/relationships" r:id="Rf50e5da80b6148a8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.630000114440918" hidden="0" customWidth="1"/>
    <x:col min="3" max="3" width="7" hidden="0" customWidth="1"/>
    <x:col min="4" max="4" width="9" hidden="0" customWidth="1"/>
  </x:cols>
  <x:sheetData>
    <x:row r="1" ht="20" customHeight="1">
      <x:c r="A1" s="21" t="str">
        <x:v>Churn Segmentation</x:v>
      </x:c>
      <x:c r="B1" s="21"/>
      <x:c r="C1" s="21"/>
      <x:c r="D1" s="21"/>
      <x:c r="E1" s="21"/>
      <x:c r="F1" s="21"/>
      <x:c r="G1" s="21"/>
      <x:c r="H1" s="21"/>
    </x:row>
    <x:row r="2" ht="20" customHeight="1">
      <x:c r="A2" s="21"/>
      <x:c r="B2" s="21"/>
      <x:c r="C2" s="21"/>
      <x:c r="D2" s="21"/>
      <x:c r="E2" s="21"/>
      <x:c r="F2" s="21"/>
      <x:c r="G2" s="21"/>
      <x:c r="H2" s="21"/>
    </x:row>
    <x:row r="3" ht="20" customHeight="1"/>
    <x:row r="4" ht="20" customHeight="1">
      <x:c r="A4" s="8" t="str">
        <x:v>Segment</x:v>
      </x:c>
      <x:c r="B4" s="8" t="str">
        <x:v>Customers</x:v>
      </x:c>
      <x:c r="C4" s="8" t="str">
        <x:v>Churned</x:v>
      </x:c>
      <x:c r="D4" s="8" t="str">
        <x:v>Churn Rate</x:v>
      </x:c>
    </x:row>
    <x:row r="5" ht="20" customHeight="1">
      <x:c r="A5" s="30" t="str">
        <x:v>Industry</x:v>
      </x:c>
      <x:c r="B5" s="30"/>
      <x:c r="C5" s="30"/>
      <x:c r="D5" s="120"/>
    </x:row>
    <x:row r="6" ht="20" customHeight="1">
      <x:c r="A6" t="str">
        <x:v>Cybersecurity</x:v>
      </x:c>
      <x:c r="B6" t="n">
        <x:f>COUNTIF('Account Analysis'!C2:C501,A6)</x:f>
        <x:v>100</x:v>
      </x:c>
      <x:c r="C6" t="n">
        <x:f>COUNTIFS('Account Analysis'!C2:C501,A6,'Account Analysis'!K2:K501,"Churned")</x:f>
        <x:v>16</x:v>
      </x:c>
      <x:c r="D6" s="118" t="n">
        <x:f>IFERROR(C6/B6,0)</x:f>
        <x:v>0.16</x:v>
      </x:c>
    </x:row>
    <x:row r="7" ht="20" customHeight="1">
      <x:c r="A7" t="str">
        <x:v>DevTools</x:v>
      </x:c>
      <x:c r="B7" t="n">
        <x:f>COUNTIF('Account Analysis'!C2:C501,A7)</x:f>
        <x:v>113</x:v>
      </x:c>
      <x:c r="C7" t="n">
        <x:f>COUNTIFS('Account Analysis'!C2:C501,A7,'Account Analysis'!K2:K501,"Churned")</x:f>
        <x:v>35</x:v>
      </x:c>
      <x:c r="D7" s="118" t="n">
        <x:f>IFERROR(C7/B7,0)</x:f>
        <x:v>0.30973451327433627</x:v>
      </x:c>
    </x:row>
    <x:row r="8" ht="20" customHeight="1">
      <x:c r="A8" t="str">
        <x:v>EdTech</x:v>
      </x:c>
      <x:c r="B8" t="n">
        <x:f>COUNTIF('Account Analysis'!C2:C501,A8)</x:f>
        <x:v>79</x:v>
      </x:c>
      <x:c r="C8" t="n">
        <x:f>COUNTIFS('Account Analysis'!C2:C501,A8,'Account Analysis'!K2:K501,"Churned")</x:f>
        <x:v>13</x:v>
      </x:c>
      <x:c r="D8" s="118" t="n">
        <x:f>IFERROR(C8/B8,0)</x:f>
        <x:v>0.16455696202531644</x:v>
      </x:c>
    </x:row>
    <x:row r="9" ht="20" customHeight="1">
      <x:c r="A9" t="str">
        <x:v>FinTech</x:v>
      </x:c>
      <x:c r="B9" t="n">
        <x:f>COUNTIF('Account Analysis'!C2:C501,A9)</x:f>
        <x:v>112</x:v>
      </x:c>
      <x:c r="C9" t="n">
        <x:f>COUNTIFS('Account Analysis'!C2:C501,A9,'Account Analysis'!K2:K501,"Churned")</x:f>
        <x:v>25</x:v>
      </x:c>
      <x:c r="D9" s="118" t="n">
        <x:f>IFERROR(C9/B9,0)</x:f>
        <x:v>0.22321428571428573</x:v>
      </x:c>
    </x:row>
    <x:row r="10" ht="20" customHeight="1">
      <x:c r="A10" t="str">
        <x:v>HealthTech</x:v>
      </x:c>
      <x:c r="B10" t="n">
        <x:f>COUNTIF('Account Analysis'!C2:C501,A10)</x:f>
        <x:v>96</x:v>
      </x:c>
      <x:c r="C10" t="n">
        <x:f>COUNTIFS('Account Analysis'!C2:C501,A10,'Account Analysis'!K2:K501,"Churned")</x:f>
        <x:v>21</x:v>
      </x:c>
      <x:c r="D10" s="118" t="n">
        <x:f>IFERROR(C10/B10,0)</x:f>
        <x:v>0.21875</x:v>
      </x:c>
    </x:row>
    <x:row r="11" ht="20" customHeight="1">
      <x:c r="D11" s="118"/>
    </x:row>
    <x:row r="12" ht="20" customHeight="1">
      <x:c r="A12" s="30" t="str">
        <x:v>Plan Tier</x:v>
      </x:c>
      <x:c r="B12" s="30"/>
      <x:c r="C12" s="30"/>
      <x:c r="D12" s="120"/>
    </x:row>
    <x:row r="13" ht="20" customHeight="1">
      <x:c r="A13" t="str">
        <x:v>Basic</x:v>
      </x:c>
      <x:c r="B13" t="n">
        <x:f>COUNTIF('Account Analysis'!H2:H501,A13)</x:f>
        <x:v>168</x:v>
      </x:c>
      <x:c r="C13" t="n">
        <x:f>COUNTIFS('Account Analysis'!H2:H501,A13,'Account Analysis'!K2:K501,"Churned")</x:f>
        <x:v>37</x:v>
      </x:c>
      <x:c r="D13" s="118" t="n">
        <x:f>IFERROR(C13/B13,0)</x:f>
        <x:v>0.22023809523809523</x:v>
      </x:c>
    </x:row>
    <x:row r="14" ht="20" customHeight="1">
      <x:c r="A14" t="str">
        <x:v>Enterprise</x:v>
      </x:c>
      <x:c r="B14" t="n">
        <x:f>COUNTIF('Account Analysis'!H2:H501,A14)</x:f>
        <x:v>154</x:v>
      </x:c>
      <x:c r="C14" t="n">
        <x:f>COUNTIFS('Account Analysis'!H2:H501,A14,'Account Analysis'!K2:K501,"Churned")</x:f>
        <x:v>34</x:v>
      </x:c>
      <x:c r="D14" s="118" t="n">
        <x:f>IFERROR(C14/B14,0)</x:f>
        <x:v>0.22077922077922077</x:v>
      </x:c>
    </x:row>
    <x:row r="15" ht="20" customHeight="1">
      <x:c r="A15" t="str">
        <x:v>Pro</x:v>
      </x:c>
      <x:c r="B15" t="n">
        <x:f>COUNTIF('Account Analysis'!H2:H501,A15)</x:f>
        <x:v>178</x:v>
      </x:c>
      <x:c r="C15" t="n">
        <x:f>COUNTIFS('Account Analysis'!H2:H501,A15,'Account Analysis'!K2:K501,"Churned")</x:f>
        <x:v>39</x:v>
      </x:c>
      <x:c r="D15" s="118" t="n">
        <x:f>IFERROR(C15/B15,0)</x:f>
        <x:v>0.21910112359550563</x:v>
      </x:c>
    </x:row>
    <x:row r="16" ht="20" customHeight="1">
      <x:c r="D16" s="118"/>
    </x:row>
    <x:row r="17" ht="20" customHeight="1">
      <x:c r="A17" s="30" t="str">
        <x:v>Country</x:v>
      </x:c>
      <x:c r="B17" s="30"/>
      <x:c r="C17" s="30"/>
      <x:c r="D17" s="120"/>
    </x:row>
    <x:row r="18" ht="20" customHeight="1">
      <x:c r="A18" t="str">
        <x:v>AU</x:v>
      </x:c>
      <x:c r="B18" t="n">
        <x:f>COUNTIF('Account Analysis'!D2:D501,A18)</x:f>
        <x:v>32</x:v>
      </x:c>
      <x:c r="C18" t="n">
        <x:f>COUNTIFS('Account Analysis'!D2:D501,A18,'Account Analysis'!K2:K501,"Churned")</x:f>
        <x:v>4</x:v>
      </x:c>
      <x:c r="D18" s="118" t="n">
        <x:f>IFERROR(C18/B18,0)</x:f>
        <x:v>0.125</x:v>
      </x:c>
    </x:row>
    <x:row r="19" ht="20" customHeight="1">
      <x:c r="A19" t="str">
        <x:v>CA</x:v>
      </x:c>
      <x:c r="B19" t="n">
        <x:f>COUNTIF('Account Analysis'!D2:D501,A19)</x:f>
        <x:v>23</x:v>
      </x:c>
      <x:c r="C19" t="n">
        <x:f>COUNTIFS('Account Analysis'!D2:D501,A19,'Account Analysis'!K2:K501,"Churned")</x:f>
        <x:v>4</x:v>
      </x:c>
      <x:c r="D19" s="118" t="n">
        <x:f>IFERROR(C19/B19,0)</x:f>
        <x:v>0.17391304347826086</x:v>
      </x:c>
    </x:row>
    <x:row r="20" ht="20" customHeight="1">
      <x:c r="A20" t="str">
        <x:v>DE</x:v>
      </x:c>
      <x:c r="B20" t="n">
        <x:f>COUNTIF('Account Analysis'!D2:D501,A20)</x:f>
        <x:v>25</x:v>
      </x:c>
      <x:c r="C20" t="n">
        <x:f>COUNTIFS('Account Analysis'!D2:D501,A20,'Account Analysis'!K2:K501,"Churned")</x:f>
        <x:v>8</x:v>
      </x:c>
      <x:c r="D20" s="118" t="n">
        <x:f>IFERROR(C20/B20,0)</x:f>
        <x:v>0.32</x:v>
      </x:c>
    </x:row>
    <x:row r="21" ht="20" customHeight="1">
      <x:c r="A21" t="str">
        <x:v>FR</x:v>
      </x:c>
      <x:c r="B21" t="n">
        <x:f>COUNTIF('Account Analysis'!D2:D501,A21)</x:f>
        <x:v>22</x:v>
      </x:c>
      <x:c r="C21" t="n">
        <x:f>COUNTIFS('Account Analysis'!D2:D501,A21,'Account Analysis'!K2:K501,"Churned")</x:f>
        <x:v>5</x:v>
      </x:c>
      <x:c r="D21" s="118" t="n">
        <x:f>IFERROR(C21/B21,0)</x:f>
        <x:v>0.22727272727272727</x:v>
      </x:c>
    </x:row>
    <x:row r="22" ht="20" customHeight="1">
      <x:c r="A22" t="str">
        <x:v>IN</x:v>
      </x:c>
      <x:c r="B22" t="n">
        <x:f>COUNTIF('Account Analysis'!D2:D501,A22)</x:f>
        <x:v>49</x:v>
      </x:c>
      <x:c r="C22" t="n">
        <x:f>COUNTIFS('Account Analysis'!D2:D501,A22,'Account Analysis'!K2:K501,"Churned")</x:f>
        <x:v>10</x:v>
      </x:c>
      <x:c r="D22" s="118" t="n">
        <x:f>IFERROR(C22/B22,0)</x:f>
        <x:v>0.20408163265306123</x:v>
      </x:c>
    </x:row>
    <x:row r="23" ht="20" customHeight="1">
      <x:c r="A23" t="str">
        <x:v>UK</x:v>
      </x:c>
      <x:c r="B23" t="n">
        <x:f>COUNTIF('Account Analysis'!D2:D501,A23)</x:f>
        <x:v>58</x:v>
      </x:c>
      <x:c r="C23" t="n">
        <x:f>COUNTIFS('Account Analysis'!D2:D501,A23,'Account Analysis'!K2:K501,"Churned")</x:f>
        <x:v>11</x:v>
      </x:c>
      <x:c r="D23" s="118" t="n">
        <x:f>IFERROR(C23/B23,0)</x:f>
        <x:v>0.1896551724137931</x:v>
      </x:c>
    </x:row>
    <x:row r="24" ht="20" customHeight="1">
      <x:c r="A24" t="str">
        <x:v>US</x:v>
      </x:c>
      <x:c r="B24" t="n">
        <x:f>COUNTIF('Account Analysis'!D2:D501,A24)</x:f>
        <x:v>291</x:v>
      </x:c>
      <x:c r="C24" t="n">
        <x:f>COUNTIFS('Account Analysis'!D2:D501,A24,'Account Analysis'!K2:K501,"Churned")</x:f>
        <x:v>68</x:v>
      </x:c>
      <x:c r="D24" s="118" t="n">
        <x:f>IFERROR(C24/B24,0)</x:f>
        <x:v>0.23367697594501718</x:v>
      </x:c>
    </x:row>
    <x:row r="25" ht="20" customHeight="1">
      <x:c r="D25" s="118"/>
    </x:row>
    <x:row r="26" ht="20" customHeight="1">
      <x:c r="A26" s="30" t="str">
        <x:v>Referral Source</x:v>
      </x:c>
      <x:c r="B26" s="30"/>
      <x:c r="C26" s="30"/>
      <x:c r="D26" s="120"/>
    </x:row>
    <x:row r="27" ht="20" customHeight="1">
      <x:c r="A27" t="str">
        <x:v>ads</x:v>
      </x:c>
      <x:c r="B27" t="n">
        <x:f>COUNTIF('Account Analysis'!G2:G501,A27)</x:f>
        <x:v>98</x:v>
      </x:c>
      <x:c r="C27" t="n">
        <x:f>COUNTIFS('Account Analysis'!G2:G501,A27,'Account Analysis'!K2:K501,"Churned")</x:f>
        <x:v>23</x:v>
      </x:c>
      <x:c r="D27" s="118" t="n">
        <x:f>IFERROR(C27/B27,0)</x:f>
        <x:v>0.23469387755102042</x:v>
      </x:c>
    </x:row>
    <x:row r="28" ht="20" customHeight="1">
      <x:c r="A28" t="str">
        <x:v>event</x:v>
      </x:c>
      <x:c r="B28" t="n">
        <x:f>COUNTIF('Account Analysis'!G2:G501,A28)</x:f>
        <x:v>96</x:v>
      </x:c>
      <x:c r="C28" t="n">
        <x:f>COUNTIFS('Account Analysis'!G2:G501,A28,'Account Analysis'!K2:K501,"Churned")</x:f>
        <x:v>29</x:v>
      </x:c>
      <x:c r="D28" s="118" t="n">
        <x:f>IFERROR(C28/B28,0)</x:f>
        <x:v>0.3020833333333333</x:v>
      </x:c>
    </x:row>
    <x:row r="29" ht="20" customHeight="1">
      <x:c r="A29" t="str">
        <x:v>organic</x:v>
      </x:c>
      <x:c r="B29" t="n">
        <x:f>COUNTIF('Account Analysis'!G2:G501,A29)</x:f>
        <x:v>114</x:v>
      </x:c>
      <x:c r="C29" t="n">
        <x:f>COUNTIFS('Account Analysis'!G2:G501,A29,'Account Analysis'!K2:K501,"Churned")</x:f>
        <x:v>20</x:v>
      </x:c>
      <x:c r="D29" s="118" t="n">
        <x:f>IFERROR(C29/B29,0)</x:f>
        <x:v>0.17543859649122806</x:v>
      </x:c>
    </x:row>
    <x:row r="30" ht="20" customHeight="1">
      <x:c r="A30" t="str">
        <x:v>other</x:v>
      </x:c>
      <x:c r="B30" t="n">
        <x:f>COUNTIF('Account Analysis'!G2:G501,A30)</x:f>
        <x:v>103</x:v>
      </x:c>
      <x:c r="C30" t="n">
        <x:f>COUNTIFS('Account Analysis'!G2:G501,A30,'Account Analysis'!K2:K501,"Churned")</x:f>
        <x:v>25</x:v>
      </x:c>
      <x:c r="D30" s="118" t="n">
        <x:f>IFERROR(C30/B30,0)</x:f>
        <x:v>0.24271844660194175</x:v>
      </x:c>
    </x:row>
    <x:row r="31" ht="20" customHeight="1">
      <x:c r="A31" t="str">
        <x:v>partner</x:v>
      </x:c>
      <x:c r="B31" t="n">
        <x:f>COUNTIF('Account Analysis'!G2:G501,A31)</x:f>
        <x:v>89</x:v>
      </x:c>
      <x:c r="C31" t="n">
        <x:f>COUNTIFS('Account Analysis'!G2:G501,A31,'Account Analysis'!K2:K501,"Churned")</x:f>
        <x:v>13</x:v>
      </x:c>
      <x:c r="D31" s="118" t="n">
        <x:f>IFERROR(C31/B31,0)</x:f>
        <x:v>0.14606741573033707</x:v>
      </x:c>
    </x:row>
    <x:row r="32" ht="20" customHeight="1">
      <x:c r="D32" s="118"/>
    </x:row>
    <x:row r="33" ht="20" customHeight="1">
      <x:c r="D33" s="118"/>
    </x:row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  <x:row r="61" ht="20" customHeight="1"/>
    <x:row r="62" ht="20" customHeight="1"/>
    <x:row r="63" ht="20" customHeight="1"/>
    <x:row r="64" ht="20" customHeight="1"/>
    <x:row r="65" ht="20" customHeight="1"/>
    <x:row r="66" ht="20" customHeight="1"/>
    <x:row r="67" ht="20" customHeight="1"/>
    <x:row r="68" ht="20" customHeight="1"/>
    <x:row r="69" ht="20" customHeight="1"/>
    <x:row r="70" ht="20" customHeight="1"/>
    <x:row r="71" ht="20" customHeight="1"/>
    <x:row r="72" ht="20" customHeight="1"/>
    <x:row r="73" ht="20" customHeight="1"/>
    <x:row r="74" ht="20" customHeight="1"/>
    <x:row r="75" ht="20" customHeight="1"/>
    <x:row r="76" ht="20" customHeight="1"/>
    <x:row r="77" ht="20" customHeight="1"/>
    <x:row r="78" ht="20" customHeight="1"/>
    <x:row r="79" ht="20" customHeight="1"/>
    <x:row r="80" ht="20" customHeight="1"/>
    <x:row r="81" ht="20" customHeight="1"/>
    <x:row r="82" ht="20" customHeight="1"/>
    <x:row r="83" ht="20" customHeight="1"/>
    <x:row r="84" ht="20" customHeight="1"/>
    <x:row r="85" ht="20" customHeight="1"/>
    <x:row r="86" ht="20" customHeight="1"/>
    <x:row r="87" ht="20" customHeight="1"/>
    <x:row r="88" ht="20" customHeight="1"/>
    <x:row r="89" ht="20" customHeight="1"/>
    <x:row r="90" ht="20" customHeight="1"/>
    <x:row r="91" ht="20" customHeight="1"/>
    <x:row r="92" ht="20" customHeight="1"/>
    <x:row r="93" ht="20" customHeight="1"/>
    <x:row r="94" ht="20" customHeight="1"/>
    <x:row r="95" ht="20" customHeight="1"/>
    <x:row r="96" ht="20" customHeight="1"/>
    <x:row r="97" ht="20" customHeight="1"/>
    <x:row r="98" ht="20" customHeight="1"/>
    <x:row r="99" ht="20" customHeight="1"/>
    <x:row r="100" ht="20" customHeight="1"/>
  </x:sheetData>
  <x:mergeCells>
    <x:mergeCell ref="A1:H2"/>
    <x:mergeCell ref="A5:D5"/>
    <x:mergeCell ref="A12:D12"/>
    <x:mergeCell ref="A17:D17"/>
    <x:mergeCell ref="A26:D2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8.630000114440918" hidden="0" customWidth="1"/>
    <x:col min="3" max="3" width="7" hidden="0" customWidth="1"/>
    <x:col min="4" max="4" width="7.380000114440918" hidden="0" customWidth="1"/>
    <x:col min="5" max="5" width="11.880000114440918" hidden="0" customWidth="1"/>
  </x:cols>
  <x:sheetData>
    <x:row r="1" ht="20" customHeight="1">
      <x:c r="A1" s="21" t="str">
        <x:v>Signup Cohort Retention</x:v>
      </x:c>
      <x:c r="B1" s="21"/>
      <x:c r="C1" s="21"/>
      <x:c r="D1" s="21"/>
      <x:c r="E1" s="21"/>
    </x:row>
    <x:row r="2" ht="20" customHeight="1">
      <x:c r="A2" s="21"/>
      <x:c r="B2" s="21"/>
      <x:c r="C2" s="21"/>
      <x:c r="D2" s="21"/>
      <x:c r="E2" s="21"/>
    </x:row>
    <x:row r="3" ht="20" customHeight="1"/>
    <x:row r="4" ht="20" customHeight="1">
      <x:c r="A4" s="8" t="str">
        <x:v>Signup Month</x:v>
      </x:c>
      <x:c r="B4" s="8" t="str">
        <x:v>Customers</x:v>
      </x:c>
      <x:c r="C4" s="8" t="str">
        <x:v>Churned</x:v>
      </x:c>
      <x:c r="D4" s="8" t="str">
        <x:v>Retained</x:v>
      </x:c>
      <x:c r="E4" s="8" t="str">
        <x:v>Retention Rate</x:v>
      </x:c>
    </x:row>
    <x:row r="5" ht="20" customHeight="1">
      <x:c r="A5" t="str">
        <x:v>2023-01</x:v>
      </x:c>
      <x:c r="B5" t="n">
        <x:f>COUNTIF('Account Analysis'!F2:F501,A5)</x:f>
        <x:v>17</x:v>
      </x:c>
      <x:c r="C5" t="n">
        <x:f>COUNTIFS('Account Analysis'!F2:F501,A5,'Account Analysis'!K2:K501,"Churned")</x:f>
        <x:v>4</x:v>
      </x:c>
      <x:c r="D5" t="n">
        <x:f>B5-C5</x:f>
        <x:v>13</x:v>
      </x:c>
      <x:c r="E5" s="118" t="n">
        <x:f>IFERROR(D5/B5,0)</x:f>
        <x:v>0.7647058823529411</x:v>
      </x:c>
    </x:row>
    <x:row r="6" ht="20" customHeight="1">
      <x:c r="A6" t="str">
        <x:v>2023-02</x:v>
      </x:c>
      <x:c r="B6" t="n">
        <x:f>COUNTIF('Account Analysis'!F2:F501,A6)</x:f>
        <x:v>18</x:v>
      </x:c>
      <x:c r="C6" t="n">
        <x:f>COUNTIFS('Account Analysis'!F2:F501,A6,'Account Analysis'!K2:K501,"Churned")</x:f>
        <x:v>7</x:v>
      </x:c>
      <x:c r="D6" t="n">
        <x:f>B6-C6</x:f>
        <x:v>11</x:v>
      </x:c>
      <x:c r="E6" s="118" t="n">
        <x:f>IFERROR(D6/B6,0)</x:f>
        <x:v>0.6111111111111112</x:v>
      </x:c>
    </x:row>
    <x:row r="7" ht="20" customHeight="1">
      <x:c r="A7" t="str">
        <x:v>2023-03</x:v>
      </x:c>
      <x:c r="B7" t="n">
        <x:f>COUNTIF('Account Analysis'!F2:F501,A7)</x:f>
        <x:v>20</x:v>
      </x:c>
      <x:c r="C7" t="n">
        <x:f>COUNTIFS('Account Analysis'!F2:F501,A7,'Account Analysis'!K2:K501,"Churned")</x:f>
        <x:v>5</x:v>
      </x:c>
      <x:c r="D7" t="n">
        <x:f>B7-C7</x:f>
        <x:v>15</x:v>
      </x:c>
      <x:c r="E7" s="118" t="n">
        <x:f>IFERROR(D7/B7,0)</x:f>
        <x:v>0.75</x:v>
      </x:c>
    </x:row>
    <x:row r="8" ht="20" customHeight="1">
      <x:c r="A8" t="str">
        <x:v>2023-04</x:v>
      </x:c>
      <x:c r="B8" t="n">
        <x:f>COUNTIF('Account Analysis'!F2:F501,A8)</x:f>
        <x:v>15</x:v>
      </x:c>
      <x:c r="C8" t="n">
        <x:f>COUNTIFS('Account Analysis'!F2:F501,A8,'Account Analysis'!K2:K501,"Churned")</x:f>
        <x:v>3</x:v>
      </x:c>
      <x:c r="D8" t="n">
        <x:f>B8-C8</x:f>
        <x:v>12</x:v>
      </x:c>
      <x:c r="E8" s="118" t="n">
        <x:f>IFERROR(D8/B8,0)</x:f>
        <x:v>0.8</x:v>
      </x:c>
    </x:row>
    <x:row r="9" ht="20" customHeight="1">
      <x:c r="A9" t="str">
        <x:v>2023-05</x:v>
      </x:c>
      <x:c r="B9" t="n">
        <x:f>COUNTIF('Account Analysis'!F2:F501,A9)</x:f>
        <x:v>26</x:v>
      </x:c>
      <x:c r="C9" t="n">
        <x:f>COUNTIFS('Account Analysis'!F2:F501,A9,'Account Analysis'!K2:K501,"Churned")</x:f>
        <x:v>7</x:v>
      </x:c>
      <x:c r="D9" t="n">
        <x:f>B9-C9</x:f>
        <x:v>19</x:v>
      </x:c>
      <x:c r="E9" s="118" t="n">
        <x:f>IFERROR(D9/B9,0)</x:f>
        <x:v>0.7307692307692307</x:v>
      </x:c>
    </x:row>
    <x:row r="10" ht="20" customHeight="1">
      <x:c r="A10" t="str">
        <x:v>2023-06</x:v>
      </x:c>
      <x:c r="B10" t="n">
        <x:f>COUNTIF('Account Analysis'!F2:F501,A10)</x:f>
        <x:v>13</x:v>
      </x:c>
      <x:c r="C10" t="n">
        <x:f>COUNTIFS('Account Analysis'!F2:F501,A10,'Account Analysis'!K2:K501,"Churned")</x:f>
        <x:v>3</x:v>
      </x:c>
      <x:c r="D10" t="n">
        <x:f>B10-C10</x:f>
        <x:v>10</x:v>
      </x:c>
      <x:c r="E10" s="118" t="n">
        <x:f>IFERROR(D10/B10,0)</x:f>
        <x:v>0.7692307692307693</x:v>
      </x:c>
    </x:row>
    <x:row r="11" ht="20" customHeight="1">
      <x:c r="A11" t="str">
        <x:v>2023-07</x:v>
      </x:c>
      <x:c r="B11" t="n">
        <x:f>COUNTIF('Account Analysis'!F2:F501,A11)</x:f>
        <x:v>14</x:v>
      </x:c>
      <x:c r="C11" t="n">
        <x:f>COUNTIFS('Account Analysis'!F2:F501,A11,'Account Analysis'!K2:K501,"Churned")</x:f>
        <x:v>3</x:v>
      </x:c>
      <x:c r="D11" t="n">
        <x:f>B11-C11</x:f>
        <x:v>11</x:v>
      </x:c>
      <x:c r="E11" s="118" t="n">
        <x:f>IFERROR(D11/B11,0)</x:f>
        <x:v>0.7857142857142857</x:v>
      </x:c>
    </x:row>
    <x:row r="12" ht="20" customHeight="1">
      <x:c r="A12" t="str">
        <x:v>2023-08</x:v>
      </x:c>
      <x:c r="B12" t="n">
        <x:f>COUNTIF('Account Analysis'!F2:F501,A12)</x:f>
        <x:v>16</x:v>
      </x:c>
      <x:c r="C12" t="n">
        <x:f>COUNTIFS('Account Analysis'!F2:F501,A12,'Account Analysis'!K2:K501,"Churned")</x:f>
        <x:v>3</x:v>
      </x:c>
      <x:c r="D12" t="n">
        <x:f>B12-C12</x:f>
        <x:v>13</x:v>
      </x:c>
      <x:c r="E12" s="118" t="n">
        <x:f>IFERROR(D12/B12,0)</x:f>
        <x:v>0.8125</x:v>
      </x:c>
    </x:row>
    <x:row r="13" ht="20" customHeight="1">
      <x:c r="A13" t="str">
        <x:v>2023-09</x:v>
      </x:c>
      <x:c r="B13" t="n">
        <x:f>COUNTIF('Account Analysis'!F2:F501,A13)</x:f>
        <x:v>23</x:v>
      </x:c>
      <x:c r="C13" t="n">
        <x:f>COUNTIFS('Account Analysis'!F2:F501,A13,'Account Analysis'!K2:K501,"Churned")</x:f>
        <x:v>5</x:v>
      </x:c>
      <x:c r="D13" t="n">
        <x:f>B13-C13</x:f>
        <x:v>18</x:v>
      </x:c>
      <x:c r="E13" s="118" t="n">
        <x:f>IFERROR(D13/B13,0)</x:f>
        <x:v>0.782608695652174</x:v>
      </x:c>
    </x:row>
    <x:row r="14" ht="20" customHeight="1">
      <x:c r="A14" t="str">
        <x:v>2023-10</x:v>
      </x:c>
      <x:c r="B14" t="n">
        <x:f>COUNTIF('Account Analysis'!F2:F501,A14)</x:f>
        <x:v>20</x:v>
      </x:c>
      <x:c r="C14" t="n">
        <x:f>COUNTIFS('Account Analysis'!F2:F501,A14,'Account Analysis'!K2:K501,"Churned")</x:f>
        <x:v>7</x:v>
      </x:c>
      <x:c r="D14" t="n">
        <x:f>B14-C14</x:f>
        <x:v>13</x:v>
      </x:c>
      <x:c r="E14" s="118" t="n">
        <x:f>IFERROR(D14/B14,0)</x:f>
        <x:v>0.65</x:v>
      </x:c>
    </x:row>
    <x:row r="15" ht="20" customHeight="1">
      <x:c r="A15" t="str">
        <x:v>2023-11</x:v>
      </x:c>
      <x:c r="B15" t="n">
        <x:f>COUNTIF('Account Analysis'!F2:F501,A15)</x:f>
        <x:v>25</x:v>
      </x:c>
      <x:c r="C15" t="n">
        <x:f>COUNTIFS('Account Analysis'!F2:F501,A15,'Account Analysis'!K2:K501,"Churned")</x:f>
        <x:v>7</x:v>
      </x:c>
      <x:c r="D15" t="n">
        <x:f>B15-C15</x:f>
        <x:v>18</x:v>
      </x:c>
      <x:c r="E15" s="118" t="n">
        <x:f>IFERROR(D15/B15,0)</x:f>
        <x:v>0.72</x:v>
      </x:c>
    </x:row>
    <x:row r="16" ht="20" customHeight="1">
      <x:c r="A16" t="str">
        <x:v>2023-12</x:v>
      </x:c>
      <x:c r="B16" t="n">
        <x:f>COUNTIF('Account Analysis'!F2:F501,A16)</x:f>
        <x:v>20</x:v>
      </x:c>
      <x:c r="C16" t="n">
        <x:f>COUNTIFS('Account Analysis'!F2:F501,A16,'Account Analysis'!K2:K501,"Churned")</x:f>
        <x:v>4</x:v>
      </x:c>
      <x:c r="D16" t="n">
        <x:f>B16-C16</x:f>
        <x:v>16</x:v>
      </x:c>
      <x:c r="E16" s="118" t="n">
        <x:f>IFERROR(D16/B16,0)</x:f>
        <x:v>0.8</x:v>
      </x:c>
    </x:row>
    <x:row r="17" ht="20" customHeight="1">
      <x:c r="A17" t="str">
        <x:v>2024-01</x:v>
      </x:c>
      <x:c r="B17" t="n">
        <x:f>COUNTIF('Account Analysis'!F2:F501,A17)</x:f>
        <x:v>16</x:v>
      </x:c>
      <x:c r="C17" t="n">
        <x:f>COUNTIFS('Account Analysis'!F2:F501,A17,'Account Analysis'!K2:K501,"Churned")</x:f>
        <x:v>3</x:v>
      </x:c>
      <x:c r="D17" t="n">
        <x:f>B17-C17</x:f>
        <x:v>13</x:v>
      </x:c>
      <x:c r="E17" s="118" t="n">
        <x:f>IFERROR(D17/B17,0)</x:f>
        <x:v>0.8125</x:v>
      </x:c>
    </x:row>
    <x:row r="18" ht="20" customHeight="1">
      <x:c r="A18" t="str">
        <x:v>2024-02</x:v>
      </x:c>
      <x:c r="B18" t="n">
        <x:f>COUNTIF('Account Analysis'!F2:F501,A18)</x:f>
        <x:v>13</x:v>
      </x:c>
      <x:c r="C18" t="n">
        <x:f>COUNTIFS('Account Analysis'!F2:F501,A18,'Account Analysis'!K2:K501,"Churned")</x:f>
        <x:v>4</x:v>
      </x:c>
      <x:c r="D18" t="n">
        <x:f>B18-C18</x:f>
        <x:v>9</x:v>
      </x:c>
      <x:c r="E18" s="118" t="n">
        <x:f>IFERROR(D18/B18,0)</x:f>
        <x:v>0.6923076923076923</x:v>
      </x:c>
    </x:row>
    <x:row r="19" ht="20" customHeight="1">
      <x:c r="A19" t="str">
        <x:v>2024-03</x:v>
      </x:c>
      <x:c r="B19" t="n">
        <x:f>COUNTIF('Account Analysis'!F2:F501,A19)</x:f>
        <x:v>27</x:v>
      </x:c>
      <x:c r="C19" t="n">
        <x:f>COUNTIFS('Account Analysis'!F2:F501,A19,'Account Analysis'!K2:K501,"Churned")</x:f>
        <x:v>4</x:v>
      </x:c>
      <x:c r="D19" t="n">
        <x:f>B19-C19</x:f>
        <x:v>23</x:v>
      </x:c>
      <x:c r="E19" s="118" t="n">
        <x:f>IFERROR(D19/B19,0)</x:f>
        <x:v>0.8518518518518519</x:v>
      </x:c>
    </x:row>
    <x:row r="20" ht="20" customHeight="1">
      <x:c r="A20" t="str">
        <x:v>2024-04</x:v>
      </x:c>
      <x:c r="B20" t="n">
        <x:f>COUNTIF('Account Analysis'!F2:F501,A20)</x:f>
        <x:v>22</x:v>
      </x:c>
      <x:c r="C20" t="n">
        <x:f>COUNTIFS('Account Analysis'!F2:F501,A20,'Account Analysis'!K2:K501,"Churned")</x:f>
        <x:v>5</x:v>
      </x:c>
      <x:c r="D20" t="n">
        <x:f>B20-C20</x:f>
        <x:v>17</x:v>
      </x:c>
      <x:c r="E20" s="118" t="n">
        <x:f>IFERROR(D20/B20,0)</x:f>
        <x:v>0.7727272727272727</x:v>
      </x:c>
    </x:row>
    <x:row r="21" ht="20" customHeight="1">
      <x:c r="A21" t="str">
        <x:v>2024-05</x:v>
      </x:c>
      <x:c r="B21" t="n">
        <x:f>COUNTIF('Account Analysis'!F2:F501,A21)</x:f>
        <x:v>22</x:v>
      </x:c>
      <x:c r="C21" t="n">
        <x:f>COUNTIFS('Account Analysis'!F2:F501,A21,'Account Analysis'!K2:K501,"Churned")</x:f>
        <x:v>4</x:v>
      </x:c>
      <x:c r="D21" t="n">
        <x:f>B21-C21</x:f>
        <x:v>18</x:v>
      </x:c>
      <x:c r="E21" s="118" t="n">
        <x:f>IFERROR(D21/B21,0)</x:f>
        <x:v>0.8181818181818182</x:v>
      </x:c>
    </x:row>
    <x:row r="22" ht="20" customHeight="1">
      <x:c r="A22" t="str">
        <x:v>2024-06</x:v>
      </x:c>
      <x:c r="B22" t="n">
        <x:f>COUNTIF('Account Analysis'!F2:F501,A22)</x:f>
        <x:v>21</x:v>
      </x:c>
      <x:c r="C22" t="n">
        <x:f>COUNTIFS('Account Analysis'!F2:F501,A22,'Account Analysis'!K2:K501,"Churned")</x:f>
        <x:v>6</x:v>
      </x:c>
      <x:c r="D22" t="n">
        <x:f>B22-C22</x:f>
        <x:v>15</x:v>
      </x:c>
      <x:c r="E22" s="118" t="n">
        <x:f>IFERROR(D22/B22,0)</x:f>
        <x:v>0.7142857142857143</x:v>
      </x:c>
    </x:row>
    <x:row r="23" ht="20" customHeight="1">
      <x:c r="A23" t="str">
        <x:v>2024-07</x:v>
      </x:c>
      <x:c r="B23" t="n">
        <x:f>COUNTIF('Account Analysis'!F2:F501,A23)</x:f>
        <x:v>26</x:v>
      </x:c>
      <x:c r="C23" t="n">
        <x:f>COUNTIFS('Account Analysis'!F2:F501,A23,'Account Analysis'!K2:K501,"Churned")</x:f>
        <x:v>3</x:v>
      </x:c>
      <x:c r="D23" t="n">
        <x:f>B23-C23</x:f>
        <x:v>23</x:v>
      </x:c>
      <x:c r="E23" s="118" t="n">
        <x:f>IFERROR(D23/B23,0)</x:f>
        <x:v>0.8846153846153846</x:v>
      </x:c>
    </x:row>
    <x:row r="24" ht="20" customHeight="1">
      <x:c r="A24" t="str">
        <x:v>2024-08</x:v>
      </x:c>
      <x:c r="B24" t="n">
        <x:f>COUNTIF('Account Analysis'!F2:F501,A24)</x:f>
        <x:v>21</x:v>
      </x:c>
      <x:c r="C24" t="n">
        <x:f>COUNTIFS('Account Analysis'!F2:F501,A24,'Account Analysis'!K2:K501,"Churned")</x:f>
        <x:v>2</x:v>
      </x:c>
      <x:c r="D24" t="n">
        <x:f>B24-C24</x:f>
        <x:v>19</x:v>
      </x:c>
      <x:c r="E24" s="118" t="n">
        <x:f>IFERROR(D24/B24,0)</x:f>
        <x:v>0.9047619047619048</x:v>
      </x:c>
    </x:row>
    <x:row r="25" ht="20" customHeight="1">
      <x:c r="A25" t="str">
        <x:v>2024-09</x:v>
      </x:c>
      <x:c r="B25" t="n">
        <x:f>COUNTIF('Account Analysis'!F2:F501,A25)</x:f>
        <x:v>25</x:v>
      </x:c>
      <x:c r="C25" t="n">
        <x:f>COUNTIFS('Account Analysis'!F2:F501,A25,'Account Analysis'!K2:K501,"Churned")</x:f>
        <x:v>9</x:v>
      </x:c>
      <x:c r="D25" t="n">
        <x:f>B25-C25</x:f>
        <x:v>16</x:v>
      </x:c>
      <x:c r="E25" s="118" t="n">
        <x:f>IFERROR(D25/B25,0)</x:f>
        <x:v>0.64</x:v>
      </x:c>
    </x:row>
    <x:row r="26" ht="20" customHeight="1">
      <x:c r="A26" t="str">
        <x:v>2024-10</x:v>
      </x:c>
      <x:c r="B26" t="n">
        <x:f>COUNTIF('Account Analysis'!F2:F501,A26)</x:f>
        <x:v>31</x:v>
      </x:c>
      <x:c r="C26" t="n">
        <x:f>COUNTIFS('Account Analysis'!F2:F501,A26,'Account Analysis'!K2:K501,"Churned")</x:f>
        <x:v>7</x:v>
      </x:c>
      <x:c r="D26" t="n">
        <x:f>B26-C26</x:f>
        <x:v>24</x:v>
      </x:c>
      <x:c r="E26" s="118" t="n">
        <x:f>IFERROR(D26/B26,0)</x:f>
        <x:v>0.7741935483870968</x:v>
      </x:c>
    </x:row>
    <x:row r="27" ht="20" customHeight="1">
      <x:c r="A27" t="str">
        <x:v>2024-11</x:v>
      </x:c>
      <x:c r="B27" t="n">
        <x:f>COUNTIF('Account Analysis'!F2:F501,A27)</x:f>
        <x:v>32</x:v>
      </x:c>
      <x:c r="C27" t="n">
        <x:f>COUNTIFS('Account Analysis'!F2:F501,A27,'Account Analysis'!K2:K501,"Churned")</x:f>
        <x:v>4</x:v>
      </x:c>
      <x:c r="D27" t="n">
        <x:f>B27-C27</x:f>
        <x:v>28</x:v>
      </x:c>
      <x:c r="E27" s="118" t="n">
        <x:f>IFERROR(D27/B27,0)</x:f>
        <x:v>0.875</x:v>
      </x:c>
    </x:row>
    <x:row r="28" ht="20" customHeight="1">
      <x:c r="A28" t="str">
        <x:v>2024-12</x:v>
      </x:c>
      <x:c r="B28" t="n">
        <x:f>COUNTIF('Account Analysis'!F2:F501,A28)</x:f>
        <x:v>17</x:v>
      </x:c>
      <x:c r="C28" t="n">
        <x:f>COUNTIFS('Account Analysis'!F2:F501,A28,'Account Analysis'!K2:K501,"Churned")</x:f>
        <x:v>1</x:v>
      </x:c>
      <x:c r="D28" t="n">
        <x:f>B28-C28</x:f>
        <x:v>16</x:v>
      </x:c>
      <x:c r="E28" s="118" t="n">
        <x:f>IFERROR(D28/B28,0)</x:f>
        <x:v>0.9411764705882353</x:v>
      </x:c>
    </x:row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  <x:row r="61" ht="20" customHeight="1"/>
    <x:row r="62" ht="20" customHeight="1"/>
    <x:row r="63" ht="20" customHeight="1"/>
    <x:row r="64" ht="20" customHeight="1"/>
    <x:row r="65" ht="20" customHeight="1"/>
    <x:row r="66" ht="20" customHeight="1"/>
    <x:row r="67" ht="20" customHeight="1"/>
    <x:row r="68" ht="20" customHeight="1"/>
    <x:row r="69" ht="20" customHeight="1"/>
    <x:row r="70" ht="20" customHeight="1"/>
    <x:row r="71" ht="20" customHeight="1"/>
    <x:row r="72" ht="20" customHeight="1"/>
    <x:row r="73" ht="20" customHeight="1"/>
    <x:row r="74" ht="20" customHeight="1"/>
    <x:row r="75" ht="20" customHeight="1"/>
    <x:row r="76" ht="20" customHeight="1"/>
    <x:row r="77" ht="20" customHeight="1"/>
    <x:row r="78" ht="20" customHeight="1"/>
    <x:row r="79" ht="20" customHeight="1"/>
    <x:row r="80" ht="20" customHeight="1"/>
    <x:row r="81" ht="20" customHeight="1"/>
    <x:row r="82" ht="20" customHeight="1"/>
    <x:row r="83" ht="20" customHeight="1"/>
    <x:row r="84" ht="20" customHeight="1"/>
    <x:row r="85" ht="20" customHeight="1"/>
    <x:row r="86" ht="20" customHeight="1"/>
    <x:row r="87" ht="20" customHeight="1"/>
    <x:row r="88" ht="20" customHeight="1"/>
    <x:row r="89" ht="20" customHeight="1"/>
    <x:row r="90" ht="20" customHeight="1"/>
    <x:row r="91" ht="20" customHeight="1"/>
    <x:row r="92" ht="20" customHeight="1"/>
    <x:row r="93" ht="20" customHeight="1"/>
    <x:row r="94" ht="20" customHeight="1"/>
    <x:row r="95" ht="20" customHeight="1"/>
    <x:row r="96" ht="20" customHeight="1"/>
    <x:row r="97" ht="20" customHeight="1"/>
    <x:row r="98" ht="20" customHeight="1"/>
    <x:row r="99" ht="20" customHeight="1"/>
    <x:row r="100" ht="20" customHeight="1"/>
  </x:sheetData>
  <x:mergeCells>
    <x:mergeCell ref="A1:E2"/>
  </x:mergeCells>
  <x:pageMargins left="0.7" right="0.7" top="0.75" bottom="0.75" header="0.3" footer="0.3"/>
  <x:drawing xmlns:r="http://schemas.openxmlformats.org/officeDocument/2006/relationships" r:id="R3099cf135a994630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0.75" hidden="0" customWidth="1"/>
    <x:col min="4" max="4" width="8.880000114440918" hidden="0" customWidth="1"/>
    <x:col min="5" max="5" width="12.380000114440918" hidden="0" customWidth="1"/>
    <x:col min="6" max="6" width="14" hidden="0" customWidth="1"/>
    <x:col min="7" max="7" width="14.630000114440918" hidden="0" customWidth="1"/>
    <x:col min="8" max="8" width="10" hidden="0" customWidth="1"/>
    <x:col min="9" max="9" width="7" hidden="0" customWidth="1"/>
    <x:col min="10" max="10" width="8.25" hidden="0" customWidth="1"/>
    <x:col min="11" max="11" width="11.130000114440918" hidden="0" customWidth="1"/>
    <x:col min="12" max="12" width="12.5" hidden="0" customWidth="1"/>
    <x:col min="13" max="13" width="22" hidden="0" customWidth="1"/>
    <x:col min="14" max="14" width="13.380000114440918" hidden="0" customWidth="1"/>
    <x:col min="15" max="15" width="17.6299991607666" hidden="0" customWidth="1"/>
    <x:col min="16" max="16" width="11.25" hidden="0" customWidth="1"/>
    <x:col min="17" max="17" width="10" hidden="0" customWidth="1"/>
    <x:col min="18" max="18" width="12.380000114440918" hidden="0" customWidth="1"/>
    <x:col min="19" max="19" width="17.1299991607666" hidden="0" customWidth="1"/>
    <x:col min="20" max="20" width="17.1299991607666" hidden="0" customWidth="1"/>
    <x:col min="21" max="21" width="17.3799991607666" hidden="0" customWidth="1"/>
    <x:col min="22" max="22" width="13.880000114440918" hidden="0" customWidth="1"/>
    <x:col min="23" max="23" width="12.5" hidden="0" customWidth="1"/>
    <x:col min="24" max="24" width="19.5" hidden="0" customWidth="1"/>
    <x:col min="25" max="25" width="21.25" hidden="0" customWidth="1"/>
    <x:col min="26" max="26" width="15.25" hidden="0" customWidth="1"/>
    <x:col min="27" max="27" width="11.5" hidden="0" customWidth="1"/>
  </x:cols>
  <x:sheetData>
    <x:row r="1">
      <x:c r="A1" s="8" t="str">
        <x:v>account_id</x:v>
      </x:c>
      <x:c r="B1" s="8" t="str">
        <x:v>account_name</x:v>
      </x:c>
      <x:c r="C1" s="8" t="str">
        <x:v>industry</x:v>
      </x:c>
      <x:c r="D1" s="8" t="str">
        <x:v>country</x:v>
      </x:c>
      <x:c r="E1" s="8" t="str">
        <x:v>signup_date</x:v>
      </x:c>
      <x:c r="F1" s="8" t="str">
        <x:v>signup_month</x:v>
      </x:c>
      <x:c r="G1" s="8" t="str">
        <x:v>referral_source</x:v>
      </x:c>
      <x:c r="H1" s="8" t="str">
        <x:v>plan_tier</x:v>
      </x:c>
      <x:c r="I1" s="8" t="str">
        <x:v>seats</x:v>
      </x:c>
      <x:c r="J1" s="8" t="str">
        <x:v>is_trial</x:v>
      </x:c>
      <x:c r="K1" s="8" t="str">
        <x:v>churn_flag</x:v>
      </x:c>
      <x:c r="L1" s="8" t="str">
        <x:v>tenure_days</x:v>
      </x:c>
      <x:c r="M1" s="8" t="str">
        <x:v>latest_churn_reason</x:v>
      </x:c>
      <x:c r="N1" s="8" t="str">
        <x:v>churn_events</x:v>
      </x:c>
      <x:c r="O1" s="8" t="str">
        <x:v>subscription_count</x:v>
      </x:c>
      <x:c r="P1" s="8" t="str">
        <x:v>active_mrr</x:v>
      </x:c>
      <x:c r="Q1" s="8" t="str">
        <x:v>upgrades</x:v>
      </x:c>
      <x:c r="R1" s="8" t="str">
        <x:v>downgrades</x:v>
      </x:c>
      <x:c r="S1" s="8" t="str">
        <x:v>usage_count_total</x:v>
      </x:c>
      <x:c r="T1" s="8" t="str">
        <x:v>usage_hours_total</x:v>
      </x:c>
      <x:c r="U1" s="8" t="str">
        <x:v>usage_errors_total</x:v>
      </x:c>
      <x:c r="V1" s="8" t="str">
        <x:v>features_used</x:v>
      </x:c>
      <x:c r="W1" s="8" t="str">
        <x:v>ticket_count</x:v>
      </x:c>
      <x:c r="X1" s="8" t="str">
        <x:v>avg_resolution_hours</x:v>
      </x:c>
      <x:c r="Y1" s="8" t="str">
        <x:v>avg_first_response_min</x:v>
      </x:c>
      <x:c r="Z1" s="8" t="str">
        <x:v>avg_satisfaction</x:v>
      </x:c>
      <x:c r="AA1" s="8" t="str">
        <x:v>escalations</x:v>
      </x:c>
    </x:row>
    <x:row r="2">
      <x:c r="A2" t="str">
        <x:v>A-2e4581</x:v>
      </x:c>
      <x:c r="B2" t="str">
        <x:v>Company_0</x:v>
      </x:c>
      <x:c r="C2" t="str">
        <x:v>EdTech</x:v>
      </x:c>
      <x:c r="D2" t="str">
        <x:v>US</x:v>
      </x:c>
      <x:c r="E2" s="14" t="n">
        <x:v>45581</x:v>
      </x:c>
      <x:c r="F2" t="str">
        <x:v>2024-10</x:v>
      </x:c>
      <x:c r="G2" t="str">
        <x:v>partner</x:v>
      </x:c>
      <x:c r="H2" t="str">
        <x:v>Basic</x:v>
      </x:c>
      <x:c r="I2" t="n">
        <x:v>9</x:v>
      </x:c>
      <x:c r="J2" s="1" t="b">
        <x:v>0</x:v>
      </x:c>
      <x:c r="K2" t="str">
        <x:v>Active</x:v>
      </x:c>
      <x:c r="L2" t="n">
        <x:v>76</x:v>
      </x:c>
      <x:c r="M2" t="str"/>
      <x:c r="N2" t="n">
        <x:v>2</x:v>
      </x:c>
      <x:c r="O2" t="n">
        <x:v>10</x:v>
      </x:c>
      <x:c r="P2" s="16" t="n">
        <x:v>12603</x:v>
      </x:c>
      <x:c r="Q2" t="n">
        <x:v>1</x:v>
      </x:c>
      <x:c r="R2" t="n">
        <x:v>0</x:v>
      </x:c>
      <x:c r="S2" t="n">
        <x:v>535</x:v>
      </x:c>
      <x:c r="T2" s="18" t="n">
        <x:v>42.31638888888889</x:v>
      </x:c>
      <x:c r="U2" t="n">
        <x:v>38</x:v>
      </x:c>
      <x:c r="V2" t="n">
        <x:v>27</x:v>
      </x:c>
      <x:c r="W2" t="n">
        <x:v>2</x:v>
      </x:c>
      <x:c r="X2" s="18" t="n">
        <x:v>23</x:v>
      </x:c>
      <x:c r="Y2" s="18" t="n">
        <x:v>91</x:v>
      </x:c>
      <x:c r="Z2" s="18" t="n">
        <x:v>3</x:v>
      </x:c>
      <x:c r="AA2" t="n">
        <x:v>0</x:v>
      </x:c>
    </x:row>
    <x:row r="3">
      <x:c r="A3" t="str">
        <x:v>A-43a9e3</x:v>
      </x:c>
      <x:c r="B3" t="str">
        <x:v>Company_1</x:v>
      </x:c>
      <x:c r="C3" t="str">
        <x:v>FinTech</x:v>
      </x:c>
      <x:c r="D3" t="str">
        <x:v>IN</x:v>
      </x:c>
      <x:c r="E3" s="14" t="n">
        <x:v>45155</x:v>
      </x:c>
      <x:c r="F3" t="str">
        <x:v>2023-08</x:v>
      </x:c>
      <x:c r="G3" t="str">
        <x:v>other</x:v>
      </x:c>
      <x:c r="H3" t="str">
        <x:v>Basic</x:v>
      </x:c>
      <x:c r="I3" t="n">
        <x:v>18</x:v>
      </x:c>
      <x:c r="J3" s="1" t="b">
        <x:v>0</x:v>
      </x:c>
      <x:c r="K3" t="str">
        <x:v>Churned</x:v>
      </x:c>
      <x:c r="L3" t="n">
        <x:v>502</x:v>
      </x:c>
      <x:c r="M3" t="str"/>
      <x:c r="N3" t="n">
        <x:v>0</x:v>
      </x:c>
      <x:c r="O3" t="n">
        <x:v>8</x:v>
      </x:c>
      <x:c r="P3" s="16" t="n">
        <x:v>10004</x:v>
      </x:c>
      <x:c r="Q3" t="n">
        <x:v>3</x:v>
      </x:c>
      <x:c r="R3" t="n">
        <x:v>0</x:v>
      </x:c>
      <x:c r="S3" t="n">
        <x:v>355</x:v>
      </x:c>
      <x:c r="T3" s="18" t="n">
        <x:v>28.093333333333334</x:v>
      </x:c>
      <x:c r="U3" t="n">
        <x:v>14</x:v>
      </x:c>
      <x:c r="V3" t="n">
        <x:v>23</x:v>
      </x:c>
      <x:c r="W3" t="n">
        <x:v>3</x:v>
      </x:c>
      <x:c r="X3" s="18" t="n">
        <x:v>38</x:v>
      </x:c>
      <x:c r="Y3" s="18" t="n">
        <x:v>73.33333333333333</x:v>
      </x:c>
      <x:c r="Z3" s="18" t="n">
        <x:v>4</x:v>
      </x:c>
      <x:c r="AA3" t="n">
        <x:v>0</x:v>
      </x:c>
    </x:row>
    <x:row r="4">
      <x:c r="A4" t="str">
        <x:v>A-0a282f</x:v>
      </x:c>
      <x:c r="B4" t="str">
        <x:v>Company_2</x:v>
      </x:c>
      <x:c r="C4" t="str">
        <x:v>DevTools</x:v>
      </x:c>
      <x:c r="D4" t="str">
        <x:v>US</x:v>
      </x:c>
      <x:c r="E4" s="14" t="n">
        <x:v>45531</x:v>
      </x:c>
      <x:c r="F4" t="str">
        <x:v>2024-08</x:v>
      </x:c>
      <x:c r="G4" t="str">
        <x:v>organic</x:v>
      </x:c>
      <x:c r="H4" t="str">
        <x:v>Basic</x:v>
      </x:c>
      <x:c r="I4" t="n">
        <x:v>1</x:v>
      </x:c>
      <x:c r="J4" s="1" t="b">
        <x:v>0</x:v>
      </x:c>
      <x:c r="K4" t="str">
        <x:v>Active</x:v>
      </x:c>
      <x:c r="L4" t="n">
        <x:v>126</x:v>
      </x:c>
      <x:c r="M4" t="str"/>
      <x:c r="N4" t="n">
        <x:v>2</x:v>
      </x:c>
      <x:c r="O4" t="n">
        <x:v>15</x:v>
      </x:c>
      <x:c r="P4" s="16" t="n">
        <x:v>13311</x:v>
      </x:c>
      <x:c r="Q4" t="n">
        <x:v>1</x:v>
      </x:c>
      <x:c r="R4" t="n">
        <x:v>1</x:v>
      </x:c>
      <x:c r="S4" t="n">
        <x:v>821</x:v>
      </x:c>
      <x:c r="T4" s="18" t="n">
        <x:v>69.78055555555555</x:v>
      </x:c>
      <x:c r="U4" t="n">
        <x:v>48</x:v>
      </x:c>
      <x:c r="V4" t="n">
        <x:v>34</x:v>
      </x:c>
      <x:c r="W4" t="n">
        <x:v>3</x:v>
      </x:c>
      <x:c r="X4" s="18" t="n">
        <x:v>43.666666666666664</x:v>
      </x:c>
      <x:c r="Y4" s="18" t="n">
        <x:v>63.666666666666664</x:v>
      </x:c>
      <x:c r="Z4" s="18" t="n">
        <x:v>4.666666666666667</x:v>
      </x:c>
      <x:c r="AA4" t="n">
        <x:v>0</x:v>
      </x:c>
    </x:row>
    <x:row r="5">
      <x:c r="A5" t="str">
        <x:v>A-1f0ac7</x:v>
      </x:c>
      <x:c r="B5" t="str">
        <x:v>Company_3</x:v>
      </x:c>
      <x:c r="C5" t="str">
        <x:v>HealthTech</x:v>
      </x:c>
      <x:c r="D5" t="str">
        <x:v>UK</x:v>
      </x:c>
      <x:c r="E5" s="14" t="n">
        <x:v>45165</x:v>
      </x:c>
      <x:c r="F5" t="str">
        <x:v>2023-08</x:v>
      </x:c>
      <x:c r="G5" t="str">
        <x:v>other</x:v>
      </x:c>
      <x:c r="H5" t="str">
        <x:v>Basic</x:v>
      </x:c>
      <x:c r="I5" t="n">
        <x:v>24</x:v>
      </x:c>
      <x:c r="J5" s="1" t="b">
        <x:v>1</x:v>
      </x:c>
      <x:c r="K5" t="str">
        <x:v>Active</x:v>
      </x:c>
      <x:c r="L5" t="n">
        <x:v>492</x:v>
      </x:c>
      <x:c r="M5" t="str"/>
      <x:c r="N5" t="n">
        <x:v>1</x:v>
      </x:c>
      <x:c r="O5" t="n">
        <x:v>7</x:v>
      </x:c>
      <x:c r="P5" s="16" t="n">
        <x:v>9275</x:v>
      </x:c>
      <x:c r="Q5" t="n">
        <x:v>2</x:v>
      </x:c>
      <x:c r="R5" t="n">
        <x:v>0</x:v>
      </x:c>
      <x:c r="S5" t="n">
        <x:v>382</x:v>
      </x:c>
      <x:c r="T5" s="18" t="n">
        <x:v>28.48</x:v>
      </x:c>
      <x:c r="U5" t="n">
        <x:v>21</x:v>
      </x:c>
      <x:c r="V5" t="n">
        <x:v>26</x:v>
      </x:c>
      <x:c r="W5" t="n">
        <x:v>2</x:v>
      </x:c>
      <x:c r="X5" s="18" t="n">
        <x:v>29</x:v>
      </x:c>
      <x:c r="Y5" s="18" t="n">
        <x:v>174</x:v>
      </x:c>
      <x:c r="Z5" s="18"/>
      <x:c r="AA5" t="n">
        <x:v>0</x:v>
      </x:c>
    </x:row>
    <x:row r="6">
      <x:c r="A6" t="str">
        <x:v>A-ce550d</x:v>
      </x:c>
      <x:c r="B6" t="str">
        <x:v>Company_4</x:v>
      </x:c>
      <x:c r="C6" t="str">
        <x:v>HealthTech</x:v>
      </x:c>
      <x:c r="D6" t="str">
        <x:v>US</x:v>
      </x:c>
      <x:c r="E6" s="14" t="n">
        <x:v>45592</x:v>
      </x:c>
      <x:c r="F6" t="str">
        <x:v>2024-10</x:v>
      </x:c>
      <x:c r="G6" t="str">
        <x:v>event</x:v>
      </x:c>
      <x:c r="H6" t="str">
        <x:v>Enterprise</x:v>
      </x:c>
      <x:c r="I6" t="n">
        <x:v>35</x:v>
      </x:c>
      <x:c r="J6" s="1" t="b">
        <x:v>0</x:v>
      </x:c>
      <x:c r="K6" t="str">
        <x:v>Churned</x:v>
      </x:c>
      <x:c r="L6" t="n">
        <x:v>62</x:v>
      </x:c>
      <x:c r="M6" t="str">
        <x:v>budget</x:v>
      </x:c>
      <x:c r="N6" t="n">
        <x:v>1</x:v>
      </x:c>
      <x:c r="O6" t="n">
        <x:v>9</x:v>
      </x:c>
      <x:c r="P6" s="16" t="n">
        <x:v>25355</x:v>
      </x:c>
      <x:c r="Q6" t="n">
        <x:v>2</x:v>
      </x:c>
      <x:c r="R6" t="n">
        <x:v>0</x:v>
      </x:c>
      <x:c r="S6" t="n">
        <x:v>579</x:v>
      </x:c>
      <x:c r="T6" s="18" t="n">
        <x:v>59.93861111111111</x:v>
      </x:c>
      <x:c r="U6" t="n">
        <x:v>31</x:v>
      </x:c>
      <x:c r="V6" t="n">
        <x:v>32</x:v>
      </x:c>
      <x:c r="W6" t="n">
        <x:v>7</x:v>
      </x:c>
      <x:c r="X6" s="18" t="n">
        <x:v>42.285714285714285</x:v>
      </x:c>
      <x:c r="Y6" s="18" t="n">
        <x:v>107.85714285714286</x:v>
      </x:c>
      <x:c r="Z6" s="18" t="n">
        <x:v>3.8</x:v>
      </x:c>
      <x:c r="AA6" t="n">
        <x:v>1</x:v>
      </x:c>
    </x:row>
    <x:row r="7">
      <x:c r="A7" t="str">
        <x:v>A-1b9609</x:v>
      </x:c>
      <x:c r="B7" t="str">
        <x:v>Company_5</x:v>
      </x:c>
      <x:c r="C7" t="str">
        <x:v>EdTech</x:v>
      </x:c>
      <x:c r="D7" t="str">
        <x:v>IN</x:v>
      </x:c>
      <x:c r="E7" s="14" t="n">
        <x:v>45211</x:v>
      </x:c>
      <x:c r="F7" t="str">
        <x:v>2023-10</x:v>
      </x:c>
      <x:c r="G7" t="str">
        <x:v>ads</x:v>
      </x:c>
      <x:c r="H7" t="str">
        <x:v>Enterprise</x:v>
      </x:c>
      <x:c r="I7" t="n">
        <x:v>4</x:v>
      </x:c>
      <x:c r="J7" s="1" t="b">
        <x:v>0</x:v>
      </x:c>
      <x:c r="K7" t="str">
        <x:v>Active</x:v>
      </x:c>
      <x:c r="L7" t="n">
        <x:v>446</x:v>
      </x:c>
      <x:c r="M7" t="str"/>
      <x:c r="N7" t="n">
        <x:v>3</x:v>
      </x:c>
      <x:c r="O7" t="n">
        <x:v>11</x:v>
      </x:c>
      <x:c r="P7" s="16" t="n">
        <x:v>16614</x:v>
      </x:c>
      <x:c r="Q7" t="n">
        <x:v>0</x:v>
      </x:c>
      <x:c r="R7" t="n">
        <x:v>0</x:v>
      </x:c>
      <x:c r="S7" t="n">
        <x:v>457</x:v>
      </x:c>
      <x:c r="T7" s="18" t="n">
        <x:v>39.03916666666667</x:v>
      </x:c>
      <x:c r="U7" t="n">
        <x:v>21</x:v>
      </x:c>
      <x:c r="V7" t="n">
        <x:v>28</x:v>
      </x:c>
      <x:c r="W7" t="n">
        <x:v>4</x:v>
      </x:c>
      <x:c r="X7" s="18" t="n">
        <x:v>43</x:v>
      </x:c>
      <x:c r="Y7" s="18" t="n">
        <x:v>74.75</x:v>
      </x:c>
      <x:c r="Z7" s="18" t="n">
        <x:v>3</x:v>
      </x:c>
      <x:c r="AA7" t="n">
        <x:v>0</x:v>
      </x:c>
    </x:row>
    <x:row r="8">
      <x:c r="A8" t="str">
        <x:v>A-a0ca4e</x:v>
      </x:c>
      <x:c r="B8" t="str">
        <x:v>Company_6</x:v>
      </x:c>
      <x:c r="C8" t="str">
        <x:v>Cybersecurity</x:v>
      </x:c>
      <x:c r="D8" t="str">
        <x:v>US</x:v>
      </x:c>
      <x:c r="E8" s="14" t="n">
        <x:v>45359</x:v>
      </x:c>
      <x:c r="F8" t="str">
        <x:v>2024-03</x:v>
      </x:c>
      <x:c r="G8" t="str">
        <x:v>ads</x:v>
      </x:c>
      <x:c r="H8" t="str">
        <x:v>Pro</x:v>
      </x:c>
      <x:c r="I8" t="n">
        <x:v>11</x:v>
      </x:c>
      <x:c r="J8" s="1" t="b">
        <x:v>0</x:v>
      </x:c>
      <x:c r="K8" t="str">
        <x:v>Active</x:v>
      </x:c>
      <x:c r="L8" t="n">
        <x:v>298</x:v>
      </x:c>
      <x:c r="M8" t="str"/>
      <x:c r="N8" t="n">
        <x:v>0</x:v>
      </x:c>
      <x:c r="O8" t="n">
        <x:v>9</x:v>
      </x:c>
      <x:c r="P8" s="16" t="n">
        <x:v>16633</x:v>
      </x:c>
      <x:c r="Q8" t="n">
        <x:v>0</x:v>
      </x:c>
      <x:c r="R8" t="n">
        <x:v>0</x:v>
      </x:c>
      <x:c r="S8" t="n">
        <x:v>373</x:v>
      </x:c>
      <x:c r="T8" s="18" t="n">
        <x:v>32.49</x:v>
      </x:c>
      <x:c r="U8" t="n">
        <x:v>14</x:v>
      </x:c>
      <x:c r="V8" t="n">
        <x:v>26</x:v>
      </x:c>
      <x:c r="W8" t="n">
        <x:v>6</x:v>
      </x:c>
      <x:c r="X8" s="18" t="n">
        <x:v>39.166666666666664</x:v>
      </x:c>
      <x:c r="Y8" s="18" t="n">
        <x:v>89.83333333333333</x:v>
      </x:c>
      <x:c r="Z8" s="18" t="n">
        <x:v>3.8</x:v>
      </x:c>
      <x:c r="AA8" t="n">
        <x:v>3</x:v>
      </x:c>
    </x:row>
    <x:row r="9">
      <x:c r="A9" t="str">
        <x:v>A-e5d6ab</x:v>
      </x:c>
      <x:c r="B9" t="str">
        <x:v>Company_7</x:v>
      </x:c>
      <x:c r="C9" t="str">
        <x:v>EdTech</x:v>
      </x:c>
      <x:c r="D9" t="str">
        <x:v>US</x:v>
      </x:c>
      <x:c r="E9" s="14" t="n">
        <x:v>45031</x:v>
      </x:c>
      <x:c r="F9" t="str">
        <x:v>2023-04</x:v>
      </x:c>
      <x:c r="G9" t="str">
        <x:v>partner</x:v>
      </x:c>
      <x:c r="H9" t="str">
        <x:v>Pro</x:v>
      </x:c>
      <x:c r="I9" t="n">
        <x:v>3</x:v>
      </x:c>
      <x:c r="J9" s="1" t="b">
        <x:v>0</x:v>
      </x:c>
      <x:c r="K9" t="str">
        <x:v>Active</x:v>
      </x:c>
      <x:c r="L9" t="n">
        <x:v>626</x:v>
      </x:c>
      <x:c r="M9" t="str"/>
      <x:c r="N9" t="n">
        <x:v>2</x:v>
      </x:c>
      <x:c r="O9" t="n">
        <x:v>10</x:v>
      </x:c>
      <x:c r="P9" s="16" t="n">
        <x:v>12383</x:v>
      </x:c>
      <x:c r="Q9" t="n">
        <x:v>0</x:v>
      </x:c>
      <x:c r="R9" t="n">
        <x:v>0</x:v>
      </x:c>
      <x:c r="S9" t="n">
        <x:v>382</x:v>
      </x:c>
      <x:c r="T9" s="18" t="n">
        <x:v>30.97388888888889</x:v>
      </x:c>
      <x:c r="U9" t="n">
        <x:v>23</x:v>
      </x:c>
      <x:c r="V9" t="n">
        <x:v>29</x:v>
      </x:c>
      <x:c r="W9" t="n">
        <x:v>3</x:v>
      </x:c>
      <x:c r="X9" s="18" t="n">
        <x:v>42.666666666666664</x:v>
      </x:c>
      <x:c r="Y9" s="18" t="n">
        <x:v>57</x:v>
      </x:c>
      <x:c r="Z9" s="18"/>
      <x:c r="AA9" t="n">
        <x:v>0</x:v>
      </x:c>
    </x:row>
    <x:row r="10">
      <x:c r="A10" t="str">
        <x:v>A-7dacce</x:v>
      </x:c>
      <x:c r="B10" t="str">
        <x:v>Company_8</x:v>
      </x:c>
      <x:c r="C10" t="str">
        <x:v>Cybersecurity</x:v>
      </x:c>
      <x:c r="D10" t="str">
        <x:v>CA</x:v>
      </x:c>
      <x:c r="E10" s="14" t="n">
        <x:v>45545</x:v>
      </x:c>
      <x:c r="F10" t="str">
        <x:v>2024-09</x:v>
      </x:c>
      <x:c r="G10" t="str">
        <x:v>event</x:v>
      </x:c>
      <x:c r="H10" t="str">
        <x:v>Enterprise</x:v>
      </x:c>
      <x:c r="I10" t="n">
        <x:v>12</x:v>
      </x:c>
      <x:c r="J10" s="1" t="b">
        <x:v>0</x:v>
      </x:c>
      <x:c r="K10" t="str">
        <x:v>Churned</x:v>
      </x:c>
      <x:c r="L10" t="n">
        <x:v>108</x:v>
      </x:c>
      <x:c r="M10" t="str">
        <x:v>budget</x:v>
      </x:c>
      <x:c r="N10" t="n">
        <x:v>3</x:v>
      </x:c>
      <x:c r="O10" t="n">
        <x:v>10</x:v>
      </x:c>
      <x:c r="P10" s="16" t="n">
        <x:v>23057</x:v>
      </x:c>
      <x:c r="Q10" t="n">
        <x:v>1</x:v>
      </x:c>
      <x:c r="R10" t="n">
        <x:v>0</x:v>
      </x:c>
      <x:c r="S10" t="n">
        <x:v>472</x:v>
      </x:c>
      <x:c r="T10" s="18" t="n">
        <x:v>40.39694444444444</x:v>
      </x:c>
      <x:c r="U10" t="n">
        <x:v>29</x:v>
      </x:c>
      <x:c r="V10" t="n">
        <x:v>27</x:v>
      </x:c>
      <x:c r="W10" t="n">
        <x:v>4</x:v>
      </x:c>
      <x:c r="X10" s="18" t="n">
        <x:v>32.5</x:v>
      </x:c>
      <x:c r="Y10" s="18" t="n">
        <x:v>75.25</x:v>
      </x:c>
      <x:c r="Z10" s="18" t="n">
        <x:v>3.6666666666666665</x:v>
      </x:c>
      <x:c r="AA10" t="n">
        <x:v>0</x:v>
      </x:c>
    </x:row>
    <x:row r="11">
      <x:c r="A11" t="str">
        <x:v>A-10b8da</x:v>
      </x:c>
      <x:c r="B11" t="str">
        <x:v>Company_9</x:v>
      </x:c>
      <x:c r="C11" t="str">
        <x:v>DevTools</x:v>
      </x:c>
      <x:c r="D11" t="str">
        <x:v>US</x:v>
      </x:c>
      <x:c r="E11" s="14" t="n">
        <x:v>45054</x:v>
      </x:c>
      <x:c r="F11" t="str">
        <x:v>2023-05</x:v>
      </x:c>
      <x:c r="G11" t="str">
        <x:v>partner</x:v>
      </x:c>
      <x:c r="H11" t="str">
        <x:v>Enterprise</x:v>
      </x:c>
      <x:c r="I11" t="n">
        <x:v>14</x:v>
      </x:c>
      <x:c r="J11" s="1" t="b">
        <x:v>0</x:v>
      </x:c>
      <x:c r="K11" t="str">
        <x:v>Churned</x:v>
      </x:c>
      <x:c r="L11" t="n">
        <x:v>603</x:v>
      </x:c>
      <x:c r="M11" t="str"/>
      <x:c r="N11" t="n">
        <x:v>0</x:v>
      </x:c>
      <x:c r="O11" t="n">
        <x:v>6</x:v>
      </x:c>
      <x:c r="P11" s="16" t="n">
        <x:v>5404</x:v>
      </x:c>
      <x:c r="Q11" t="n">
        <x:v>1</x:v>
      </x:c>
      <x:c r="R11" t="n">
        <x:v>0</x:v>
      </x:c>
      <x:c r="S11" t="n">
        <x:v>257</x:v>
      </x:c>
      <x:c r="T11" s="18" t="n">
        <x:v>20.505</x:v>
      </x:c>
      <x:c r="U11" t="n">
        <x:v>14</x:v>
      </x:c>
      <x:c r="V11" t="n">
        <x:v>23</x:v>
      </x:c>
      <x:c r="W11" t="n">
        <x:v>3</x:v>
      </x:c>
      <x:c r="X11" s="18" t="n">
        <x:v>31.333333333333332</x:v>
      </x:c>
      <x:c r="Y11" s="18" t="n">
        <x:v>71.33333333333333</x:v>
      </x:c>
      <x:c r="Z11" s="18" t="n">
        <x:v>3.5</x:v>
      </x:c>
      <x:c r="AA11" t="n">
        <x:v>0</x:v>
      </x:c>
    </x:row>
    <x:row r="12">
      <x:c r="A12" t="str">
        <x:v>A-592832</x:v>
      </x:c>
      <x:c r="B12" t="str">
        <x:v>Company_10</x:v>
      </x:c>
      <x:c r="C12" t="str">
        <x:v>Cybersecurity</x:v>
      </x:c>
      <x:c r="D12" t="str">
        <x:v>US</x:v>
      </x:c>
      <x:c r="E12" s="14" t="n">
        <x:v>45560</x:v>
      </x:c>
      <x:c r="F12" t="str">
        <x:v>2024-09</x:v>
      </x:c>
      <x:c r="G12" t="str">
        <x:v>organic</x:v>
      </x:c>
      <x:c r="H12" t="str">
        <x:v>Basic</x:v>
      </x:c>
      <x:c r="I12" t="n">
        <x:v>18</x:v>
      </x:c>
      <x:c r="J12" s="1" t="b">
        <x:v>0</x:v>
      </x:c>
      <x:c r="K12" t="str">
        <x:v>Churned</x:v>
      </x:c>
      <x:c r="L12" t="n">
        <x:v>9</x:v>
      </x:c>
      <x:c r="M12" t="str">
        <x:v>support</x:v>
      </x:c>
      <x:c r="N12" t="n">
        <x:v>1</x:v>
      </x:c>
      <x:c r="O12" t="n">
        <x:v>19</x:v>
      </x:c>
      <x:c r="P12" s="16" t="n">
        <x:v>26833</x:v>
      </x:c>
      <x:c r="Q12" t="n">
        <x:v>1</x:v>
      </x:c>
      <x:c r="R12" t="n">
        <x:v>1</x:v>
      </x:c>
      <x:c r="S12" t="n">
        <x:v>1053</x:v>
      </x:c>
      <x:c r="T12" s="18" t="n">
        <x:v>90.63416666666667</x:v>
      </x:c>
      <x:c r="U12" t="n">
        <x:v>55</x:v>
      </x:c>
      <x:c r="V12" t="n">
        <x:v>38</x:v>
      </x:c>
      <x:c r="W12" t="n">
        <x:v>3</x:v>
      </x:c>
      <x:c r="X12" s="18" t="n">
        <x:v>32.666666666666664</x:v>
      </x:c>
      <x:c r="Y12" s="18" t="n">
        <x:v>80.66666666666667</x:v>
      </x:c>
      <x:c r="Z12" s="18" t="n">
        <x:v>5</x:v>
      </x:c>
      <x:c r="AA12" t="n">
        <x:v>0</x:v>
      </x:c>
    </x:row>
    <x:row r="13">
      <x:c r="A13" t="str">
        <x:v>A-d40bf7</x:v>
      </x:c>
      <x:c r="B13" t="str">
        <x:v>Company_11</x:v>
      </x:c>
      <x:c r="C13" t="str">
        <x:v>FinTech</x:v>
      </x:c>
      <x:c r="D13" t="str">
        <x:v>IN</x:v>
      </x:c>
      <x:c r="E13" s="14" t="n">
        <x:v>45604</x:v>
      </x:c>
      <x:c r="F13" t="str">
        <x:v>2024-11</x:v>
      </x:c>
      <x:c r="G13" t="str">
        <x:v>organic</x:v>
      </x:c>
      <x:c r="H13" t="str">
        <x:v>Basic</x:v>
      </x:c>
      <x:c r="I13" t="n">
        <x:v>59</x:v>
      </x:c>
      <x:c r="J13" s="1" t="b">
        <x:v>0</x:v>
      </x:c>
      <x:c r="K13" t="str">
        <x:v>Active</x:v>
      </x:c>
      <x:c r="L13" t="n">
        <x:v>53</x:v>
      </x:c>
      <x:c r="M13" t="str"/>
      <x:c r="N13" t="n">
        <x:v>0</x:v>
      </x:c>
      <x:c r="O13" t="n">
        <x:v>10</x:v>
      </x:c>
      <x:c r="P13" s="16" t="n">
        <x:v>43247</x:v>
      </x:c>
      <x:c r="Q13" t="n">
        <x:v>1</x:v>
      </x:c>
      <x:c r="R13" t="n">
        <x:v>0</x:v>
      </x:c>
      <x:c r="S13" t="n">
        <x:v>562</x:v>
      </x:c>
      <x:c r="T13" s="18" t="n">
        <x:v>41.718333333333334</x:v>
      </x:c>
      <x:c r="U13" t="n">
        <x:v>22</x:v>
      </x:c>
      <x:c r="V13" t="n">
        <x:v>29</x:v>
      </x:c>
      <x:c r="W13" t="n">
        <x:v>2</x:v>
      </x:c>
      <x:c r="X13" s="18" t="n">
        <x:v>20.5</x:v>
      </x:c>
      <x:c r="Y13" s="18" t="n">
        <x:v>125.5</x:v>
      </x:c>
      <x:c r="Z13" s="18" t="n">
        <x:v>5</x:v>
      </x:c>
      <x:c r="AA13" t="n">
        <x:v>0</x:v>
      </x:c>
    </x:row>
    <x:row r="14">
      <x:c r="A14" t="str">
        <x:v>A-6c093d</x:v>
      </x:c>
      <x:c r="B14" t="str">
        <x:v>Company_12</x:v>
      </x:c>
      <x:c r="C14" t="str">
        <x:v>DevTools</x:v>
      </x:c>
      <x:c r="D14" t="str">
        <x:v>US</x:v>
      </x:c>
      <x:c r="E14" s="14" t="n">
        <x:v>45030</x:v>
      </x:c>
      <x:c r="F14" t="str">
        <x:v>2023-04</x:v>
      </x:c>
      <x:c r="G14" t="str">
        <x:v>partner</x:v>
      </x:c>
      <x:c r="H14" t="str">
        <x:v>Basic</x:v>
      </x:c>
      <x:c r="I14" t="n">
        <x:v>7</x:v>
      </x:c>
      <x:c r="J14" s="1" t="b">
        <x:v>1</x:v>
      </x:c>
      <x:c r="K14" t="str">
        <x:v>Active</x:v>
      </x:c>
      <x:c r="L14" t="n">
        <x:v>627</x:v>
      </x:c>
      <x:c r="M14" t="str"/>
      <x:c r="N14" t="n">
        <x:v>0</x:v>
      </x:c>
      <x:c r="O14" t="n">
        <x:v>12</x:v>
      </x:c>
      <x:c r="P14" s="16" t="n">
        <x:v>15556</x:v>
      </x:c>
      <x:c r="Q14" t="n">
        <x:v>2</x:v>
      </x:c>
      <x:c r="R14" t="n">
        <x:v>0</x:v>
      </x:c>
      <x:c r="S14" t="n">
        <x:v>670</x:v>
      </x:c>
      <x:c r="T14" s="18" t="n">
        <x:v>60.354166666666664</x:v>
      </x:c>
      <x:c r="U14" t="n">
        <x:v>30</x:v>
      </x:c>
      <x:c r="V14" t="n">
        <x:v>30</x:v>
      </x:c>
      <x:c r="W14" t="n">
        <x:v>3</x:v>
      </x:c>
      <x:c r="X14" s="18" t="n">
        <x:v>40.333333333333336</x:v>
      </x:c>
      <x:c r="Y14" s="18" t="n">
        <x:v>68.33333333333333</x:v>
      </x:c>
      <x:c r="Z14" s="18" t="n">
        <x:v>5</x:v>
      </x:c>
      <x:c r="AA14" t="n">
        <x:v>1</x:v>
      </x:c>
    </x:row>
    <x:row r="15">
      <x:c r="A15" t="str">
        <x:v>A-462d45</x:v>
      </x:c>
      <x:c r="B15" t="str">
        <x:v>Company_13</x:v>
      </x:c>
      <x:c r="C15" t="str">
        <x:v>Cybersecurity</x:v>
      </x:c>
      <x:c r="D15" t="str">
        <x:v>US</x:v>
      </x:c>
      <x:c r="E15" s="14" t="n">
        <x:v>45306</x:v>
      </x:c>
      <x:c r="F15" t="str">
        <x:v>2024-01</x:v>
      </x:c>
      <x:c r="G15" t="str">
        <x:v>partner</x:v>
      </x:c>
      <x:c r="H15" t="str">
        <x:v>Enterprise</x:v>
      </x:c>
      <x:c r="I15" t="n">
        <x:v>11</x:v>
      </x:c>
      <x:c r="J15" s="1" t="b">
        <x:v>1</x:v>
      </x:c>
      <x:c r="K15" t="str">
        <x:v>Active</x:v>
      </x:c>
      <x:c r="L15" t="n">
        <x:v>351</x:v>
      </x:c>
      <x:c r="M15" t="str"/>
      <x:c r="N15" t="n">
        <x:v>1</x:v>
      </x:c>
      <x:c r="O15" t="n">
        <x:v>12</x:v>
      </x:c>
      <x:c r="P15" s="16" t="n">
        <x:v>18752</x:v>
      </x:c>
      <x:c r="Q15" t="n">
        <x:v>1</x:v>
      </x:c>
      <x:c r="R15" t="n">
        <x:v>2</x:v>
      </x:c>
      <x:c r="S15" t="n">
        <x:v>642</x:v>
      </x:c>
      <x:c r="T15" s="18" t="n">
        <x:v>44.3225</x:v>
      </x:c>
      <x:c r="U15" t="n">
        <x:v>26</x:v>
      </x:c>
      <x:c r="V15" t="n">
        <x:v>34</x:v>
      </x:c>
      <x:c r="W15" t="n">
        <x:v>4</x:v>
      </x:c>
      <x:c r="X15" s="18" t="n">
        <x:v>26.75</x:v>
      </x:c>
      <x:c r="Y15" s="18" t="n">
        <x:v>95</x:v>
      </x:c>
      <x:c r="Z15" s="18" t="n">
        <x:v>4</x:v>
      </x:c>
      <x:c r="AA15" t="n">
        <x:v>0</x:v>
      </x:c>
    </x:row>
    <x:row r="16">
      <x:c r="A16" t="str">
        <x:v>A-956988</x:v>
      </x:c>
      <x:c r="B16" t="str">
        <x:v>Company_14</x:v>
      </x:c>
      <x:c r="C16" t="str">
        <x:v>EdTech</x:v>
      </x:c>
      <x:c r="D16" t="str">
        <x:v>UK</x:v>
      </x:c>
      <x:c r="E16" s="14" t="n">
        <x:v>45626</x:v>
      </x:c>
      <x:c r="F16" t="str">
        <x:v>2024-11</x:v>
      </x:c>
      <x:c r="G16" t="str">
        <x:v>ads</x:v>
      </x:c>
      <x:c r="H16" t="str">
        <x:v>Enterprise</x:v>
      </x:c>
      <x:c r="I16" t="n">
        <x:v>1</x:v>
      </x:c>
      <x:c r="J16" s="1" t="b">
        <x:v>0</x:v>
      </x:c>
      <x:c r="K16" t="str">
        <x:v>Active</x:v>
      </x:c>
      <x:c r="L16" t="n">
        <x:v>31</x:v>
      </x:c>
      <x:c r="M16" t="str"/>
      <x:c r="N16" t="n">
        <x:v>2</x:v>
      </x:c>
      <x:c r="O16" t="n">
        <x:v>13</x:v>
      </x:c>
      <x:c r="P16" s="16" t="n">
        <x:v>29407</x:v>
      </x:c>
      <x:c r="Q16" t="n">
        <x:v>0</x:v>
      </x:c>
      <x:c r="R16" t="n">
        <x:v>1</x:v>
      </x:c>
      <x:c r="S16" t="n">
        <x:v>658</x:v>
      </x:c>
      <x:c r="T16" s="18" t="n">
        <x:v>48.12</x:v>
      </x:c>
      <x:c r="U16" t="n">
        <x:v>49</x:v>
      </x:c>
      <x:c r="V16" t="n">
        <x:v>32</x:v>
      </x:c>
      <x:c r="W16" t="n">
        <x:v>2</x:v>
      </x:c>
      <x:c r="X16" s="18" t="n">
        <x:v>50.5</x:v>
      </x:c>
      <x:c r="Y16" s="18" t="n">
        <x:v>118</x:v>
      </x:c>
      <x:c r="Z16" s="18" t="n">
        <x:v>3</x:v>
      </x:c>
      <x:c r="AA16" t="n">
        <x:v>0</x:v>
      </x:c>
    </x:row>
    <x:row r="17">
      <x:c r="A17" t="str">
        <x:v>A-ac14bb</x:v>
      </x:c>
      <x:c r="B17" t="str">
        <x:v>Company_15</x:v>
      </x:c>
      <x:c r="C17" t="str">
        <x:v>FinTech</x:v>
      </x:c>
      <x:c r="D17" t="str">
        <x:v>US</x:v>
      </x:c>
      <x:c r="E17" s="14" t="n">
        <x:v>45177</x:v>
      </x:c>
      <x:c r="F17" t="str">
        <x:v>2023-09</x:v>
      </x:c>
      <x:c r="G17" t="str">
        <x:v>partner</x:v>
      </x:c>
      <x:c r="H17" t="str">
        <x:v>Enterprise</x:v>
      </x:c>
      <x:c r="I17" t="n">
        <x:v>21</x:v>
      </x:c>
      <x:c r="J17" s="1" t="b">
        <x:v>0</x:v>
      </x:c>
      <x:c r="K17" t="str">
        <x:v>Active</x:v>
      </x:c>
      <x:c r="L17" t="n">
        <x:v>480</x:v>
      </x:c>
      <x:c r="M17" t="str"/>
      <x:c r="N17" t="n">
        <x:v>2</x:v>
      </x:c>
      <x:c r="O17" t="n">
        <x:v>8</x:v>
      </x:c>
      <x:c r="P17" s="16" t="n">
        <x:v>20382</x:v>
      </x:c>
      <x:c r="Q17" t="n">
        <x:v>2</x:v>
      </x:c>
      <x:c r="R17" t="n">
        <x:v>0</x:v>
      </x:c>
      <x:c r="S17" t="n">
        <x:v>531</x:v>
      </x:c>
      <x:c r="T17" s="18" t="n">
        <x:v>47.45166666666667</x:v>
      </x:c>
      <x:c r="U17" t="n">
        <x:v>42</x:v>
      </x:c>
      <x:c r="V17" t="n">
        <x:v>31</x:v>
      </x:c>
      <x:c r="W17" t="n">
        <x:v>2</x:v>
      </x:c>
      <x:c r="X17" s="18" t="n">
        <x:v>24.5</x:v>
      </x:c>
      <x:c r="Y17" s="18" t="n">
        <x:v>30.5</x:v>
      </x:c>
      <x:c r="Z17" s="18" t="n">
        <x:v>4</x:v>
      </x:c>
      <x:c r="AA17" t="n">
        <x:v>0</x:v>
      </x:c>
    </x:row>
    <x:row r="18">
      <x:c r="A18" t="str">
        <x:v>A-463db0</x:v>
      </x:c>
      <x:c r="B18" t="str">
        <x:v>Company_16</x:v>
      </x:c>
      <x:c r="C18" t="str">
        <x:v>HealthTech</x:v>
      </x:c>
      <x:c r="D18" t="str">
        <x:v>US</x:v>
      </x:c>
      <x:c r="E18" s="14" t="n">
        <x:v>45631</x:v>
      </x:c>
      <x:c r="F18" t="str">
        <x:v>2024-12</x:v>
      </x:c>
      <x:c r="G18" t="str">
        <x:v>partner</x:v>
      </x:c>
      <x:c r="H18" t="str">
        <x:v>Basic</x:v>
      </x:c>
      <x:c r="I18" t="n">
        <x:v>15</x:v>
      </x:c>
      <x:c r="J18" s="1" t="b">
        <x:v>0</x:v>
      </x:c>
      <x:c r="K18" t="str">
        <x:v>Active</x:v>
      </x:c>
      <x:c r="L18" t="n">
        <x:v>26</x:v>
      </x:c>
      <x:c r="M18" t="str"/>
      <x:c r="N18" t="n">
        <x:v>1</x:v>
      </x:c>
      <x:c r="O18" t="n">
        <x:v>7</x:v>
      </x:c>
      <x:c r="P18" s="16" t="n">
        <x:v>13266</x:v>
      </x:c>
      <x:c r="Q18" t="n">
        <x:v>0</x:v>
      </x:c>
      <x:c r="R18" t="n">
        <x:v>0</x:v>
      </x:c>
      <x:c r="S18" t="n">
        <x:v>367</x:v>
      </x:c>
      <x:c r="T18" s="18" t="n">
        <x:v>29.51638888888889</x:v>
      </x:c>
      <x:c r="U18" t="n">
        <x:v>13</x:v>
      </x:c>
      <x:c r="V18" t="n">
        <x:v>25</x:v>
      </x:c>
      <x:c r="W18" t="n">
        <x:v>6</x:v>
      </x:c>
      <x:c r="X18" s="18" t="n">
        <x:v>50.166666666666664</x:v>
      </x:c>
      <x:c r="Y18" s="18" t="n">
        <x:v>94.83333333333333</x:v>
      </x:c>
      <x:c r="Z18" s="18" t="n">
        <x:v>4.25</x:v>
      </x:c>
      <x:c r="AA18" t="n">
        <x:v>1</x:v>
      </x:c>
    </x:row>
    <x:row r="19">
      <x:c r="A19" t="str">
        <x:v>A-ce66f8</x:v>
      </x:c>
      <x:c r="B19" t="str">
        <x:v>Company_17</x:v>
      </x:c>
      <x:c r="C19" t="str">
        <x:v>EdTech</x:v>
      </x:c>
      <x:c r="D19" t="str">
        <x:v>CA</x:v>
      </x:c>
      <x:c r="E19" s="14" t="n">
        <x:v>45161</x:v>
      </x:c>
      <x:c r="F19" t="str">
        <x:v>2023-08</x:v>
      </x:c>
      <x:c r="G19" t="str">
        <x:v>event</x:v>
      </x:c>
      <x:c r="H19" t="str">
        <x:v>Pro</x:v>
      </x:c>
      <x:c r="I19" t="n">
        <x:v>29</x:v>
      </x:c>
      <x:c r="J19" s="1" t="b">
        <x:v>0</x:v>
      </x:c>
      <x:c r="K19" t="str">
        <x:v>Active</x:v>
      </x:c>
      <x:c r="L19" t="n">
        <x:v>496</x:v>
      </x:c>
      <x:c r="M19" t="str"/>
      <x:c r="N19" t="n">
        <x:v>0</x:v>
      </x:c>
      <x:c r="O19" t="n">
        <x:v>6</x:v>
      </x:c>
      <x:c r="P19" s="16" t="n">
        <x:v>11858</x:v>
      </x:c>
      <x:c r="Q19" t="n">
        <x:v>0</x:v>
      </x:c>
      <x:c r="R19" t="n">
        <x:v>0</x:v>
      </x:c>
      <x:c r="S19" t="n">
        <x:v>494</x:v>
      </x:c>
      <x:c r="T19" s="18" t="n">
        <x:v>37.09972222222222</x:v>
      </x:c>
      <x:c r="U19" t="n">
        <x:v>19</x:v>
      </x:c>
      <x:c r="V19" t="n">
        <x:v>29</x:v>
      </x:c>
      <x:c r="W19" t="n">
        <x:v>6</x:v>
      </x:c>
      <x:c r="X19" s="18" t="n">
        <x:v>41.666666666666664</x:v>
      </x:c>
      <x:c r="Y19" s="18" t="n">
        <x:v>79.16666666666667</x:v>
      </x:c>
      <x:c r="Z19" s="18" t="n">
        <x:v>3.5</x:v>
      </x:c>
      <x:c r="AA19" t="n">
        <x:v>0</x:v>
      </x:c>
    </x:row>
    <x:row r="20">
      <x:c r="A20" t="str">
        <x:v>A-c4ea60</x:v>
      </x:c>
      <x:c r="B20" t="str">
        <x:v>Company_18</x:v>
      </x:c>
      <x:c r="C20" t="str">
        <x:v>FinTech</x:v>
      </x:c>
      <x:c r="D20" t="str">
        <x:v>DE</x:v>
      </x:c>
      <x:c r="E20" s="14" t="n">
        <x:v>44994</x:v>
      </x:c>
      <x:c r="F20" t="str">
        <x:v>2023-03</x:v>
      </x:c>
      <x:c r="G20" t="str">
        <x:v>other</x:v>
      </x:c>
      <x:c r="H20" t="str">
        <x:v>Enterprise</x:v>
      </x:c>
      <x:c r="I20" t="n">
        <x:v>18</x:v>
      </x:c>
      <x:c r="J20" s="1" t="b">
        <x:v>0</x:v>
      </x:c>
      <x:c r="K20" t="str">
        <x:v>Churned</x:v>
      </x:c>
      <x:c r="L20" t="n">
        <x:v>663</x:v>
      </x:c>
      <x:c r="M20" t="str"/>
      <x:c r="N20" t="n">
        <x:v>0</x:v>
      </x:c>
      <x:c r="O20" t="n">
        <x:v>9</x:v>
      </x:c>
      <x:c r="P20" s="16" t="n">
        <x:v>14646</x:v>
      </x:c>
      <x:c r="Q20" t="n">
        <x:v>0</x:v>
      </x:c>
      <x:c r="R20" t="n">
        <x:v>1</x:v>
      </x:c>
      <x:c r="S20" t="n">
        <x:v>427</x:v>
      </x:c>
      <x:c r="T20" s="18" t="n">
        <x:v>38.123333333333335</x:v>
      </x:c>
      <x:c r="U20" t="n">
        <x:v>18</x:v>
      </x:c>
      <x:c r="V20" t="n">
        <x:v>28</x:v>
      </x:c>
      <x:c r="W20" t="n">
        <x:v>5</x:v>
      </x:c>
      <x:c r="X20" s="18" t="n">
        <x:v>36</x:v>
      </x:c>
      <x:c r="Y20" s="18" t="n">
        <x:v>59</x:v>
      </x:c>
      <x:c r="Z20" s="18" t="n">
        <x:v>3.6</x:v>
      </x:c>
      <x:c r="AA20" t="n">
        <x:v>0</x:v>
      </x:c>
    </x:row>
    <x:row r="21">
      <x:c r="A21" t="str">
        <x:v>A-832ec2</x:v>
      </x:c>
      <x:c r="B21" t="str">
        <x:v>Company_19</x:v>
      </x:c>
      <x:c r="C21" t="str">
        <x:v>FinTech</x:v>
      </x:c>
      <x:c r="D21" t="str">
        <x:v>UK</x:v>
      </x:c>
      <x:c r="E21" s="14" t="n">
        <x:v>45249</x:v>
      </x:c>
      <x:c r="F21" t="str">
        <x:v>2023-11</x:v>
      </x:c>
      <x:c r="G21" t="str">
        <x:v>event</x:v>
      </x:c>
      <x:c r="H21" t="str">
        <x:v>Enterprise</x:v>
      </x:c>
      <x:c r="I21" t="n">
        <x:v>4</x:v>
      </x:c>
      <x:c r="J21" s="1" t="b">
        <x:v>1</x:v>
      </x:c>
      <x:c r="K21" t="str">
        <x:v>Active</x:v>
      </x:c>
      <x:c r="L21" t="n">
        <x:v>408</x:v>
      </x:c>
      <x:c r="M21" t="str"/>
      <x:c r="N21" t="n">
        <x:v>2</x:v>
      </x:c>
      <x:c r="O21" t="n">
        <x:v>8</x:v>
      </x:c>
      <x:c r="P21" s="16" t="n">
        <x:v>9299</x:v>
      </x:c>
      <x:c r="Q21" t="n">
        <x:v>3</x:v>
      </x:c>
      <x:c r="R21" t="n">
        <x:v>0</x:v>
      </x:c>
      <x:c r="S21" t="n">
        <x:v>511</x:v>
      </x:c>
      <x:c r="T21" s="18" t="n">
        <x:v>43.80861111111111</x:v>
      </x:c>
      <x:c r="U21" t="n">
        <x:v>25</x:v>
      </x:c>
      <x:c r="V21" t="n">
        <x:v>31</x:v>
      </x:c>
      <x:c r="W21" t="n">
        <x:v>3</x:v>
      </x:c>
      <x:c r="X21" s="18" t="n">
        <x:v>26</x:v>
      </x:c>
      <x:c r="Y21" s="18" t="n">
        <x:v>108.66666666666667</x:v>
      </x:c>
      <x:c r="Z21" s="18" t="n">
        <x:v>4</x:v>
      </x:c>
      <x:c r="AA21" t="n">
        <x:v>1</x:v>
      </x:c>
    </x:row>
    <x:row r="22">
      <x:c r="A22" t="str">
        <x:v>A-684255</x:v>
      </x:c>
      <x:c r="B22" t="str">
        <x:v>Company_20</x:v>
      </x:c>
      <x:c r="C22" t="str">
        <x:v>FinTech</x:v>
      </x:c>
      <x:c r="D22" t="str">
        <x:v>US</x:v>
      </x:c>
      <x:c r="E22" s="14" t="n">
        <x:v>45396</x:v>
      </x:c>
      <x:c r="F22" t="str">
        <x:v>2024-04</x:v>
      </x:c>
      <x:c r="G22" t="str">
        <x:v>ads</x:v>
      </x:c>
      <x:c r="H22" t="str">
        <x:v>Enterprise</x:v>
      </x:c>
      <x:c r="I22" t="n">
        <x:v>9</x:v>
      </x:c>
      <x:c r="J22" s="1" t="b">
        <x:v>0</x:v>
      </x:c>
      <x:c r="K22" t="str">
        <x:v>Active</x:v>
      </x:c>
      <x:c r="L22" t="n">
        <x:v>261</x:v>
      </x:c>
      <x:c r="M22" t="str"/>
      <x:c r="N22" t="n">
        <x:v>2</x:v>
      </x:c>
      <x:c r="O22" t="n">
        <x:v>14</x:v>
      </x:c>
      <x:c r="P22" s="16" t="n">
        <x:v>10864</x:v>
      </x:c>
      <x:c r="Q22" t="n">
        <x:v>3</x:v>
      </x:c>
      <x:c r="R22" t="n">
        <x:v>1</x:v>
      </x:c>
      <x:c r="S22" t="n">
        <x:v>653</x:v>
      </x:c>
      <x:c r="T22" s="18" t="n">
        <x:v>53.29138888888889</x:v>
      </x:c>
      <x:c r="U22" t="n">
        <x:v>44</x:v>
      </x:c>
      <x:c r="V22" t="n">
        <x:v>34</x:v>
      </x:c>
      <x:c r="W22" t="n">
        <x:v>4</x:v>
      </x:c>
      <x:c r="X22" s="18" t="n">
        <x:v>14.25</x:v>
      </x:c>
      <x:c r="Y22" s="18" t="n">
        <x:v>97.75</x:v>
      </x:c>
      <x:c r="Z22" s="18" t="n">
        <x:v>4.666666666666667</x:v>
      </x:c>
      <x:c r="AA22" t="n">
        <x:v>1</x:v>
      </x:c>
    </x:row>
    <x:row r="23">
      <x:c r="A23" t="str">
        <x:v>A-c42f1f</x:v>
      </x:c>
      <x:c r="B23" t="str">
        <x:v>Company_21</x:v>
      </x:c>
      <x:c r="C23" t="str">
        <x:v>HealthTech</x:v>
      </x:c>
      <x:c r="D23" t="str">
        <x:v>US</x:v>
      </x:c>
      <x:c r="E23" s="14" t="n">
        <x:v>45501</x:v>
      </x:c>
      <x:c r="F23" t="str">
        <x:v>2024-07</x:v>
      </x:c>
      <x:c r="G23" t="str">
        <x:v>other</x:v>
      </x:c>
      <x:c r="H23" t="str">
        <x:v>Pro</x:v>
      </x:c>
      <x:c r="I23" t="n">
        <x:v>8</x:v>
      </x:c>
      <x:c r="J23" s="1" t="b">
        <x:v>0</x:v>
      </x:c>
      <x:c r="K23" t="str">
        <x:v>Active</x:v>
      </x:c>
      <x:c r="L23" t="n">
        <x:v>156</x:v>
      </x:c>
      <x:c r="M23" t="str"/>
      <x:c r="N23" t="n">
        <x:v>0</x:v>
      </x:c>
      <x:c r="O23" t="n">
        <x:v>8</x:v>
      </x:c>
      <x:c r="P23" s="16" t="n">
        <x:v>4636</x:v>
      </x:c>
      <x:c r="Q23" t="n">
        <x:v>1</x:v>
      </x:c>
      <x:c r="R23" t="n">
        <x:v>1</x:v>
      </x:c>
      <x:c r="S23" t="n">
        <x:v>337</x:v>
      </x:c>
      <x:c r="T23" s="18" t="n">
        <x:v>27.328611111111112</x:v>
      </x:c>
      <x:c r="U23" t="n">
        <x:v>20</x:v>
      </x:c>
      <x:c r="V23" t="n">
        <x:v>24</x:v>
      </x:c>
      <x:c r="W23" t="n">
        <x:v>9</x:v>
      </x:c>
      <x:c r="X23" s="18" t="n">
        <x:v>31.333333333333332</x:v>
      </x:c>
      <x:c r="Y23" s="18" t="n">
        <x:v>81.88888888888889</x:v>
      </x:c>
      <x:c r="Z23" s="18" t="n">
        <x:v>4</x:v>
      </x:c>
      <x:c r="AA23" t="n">
        <x:v>1</x:v>
      </x:c>
    </x:row>
    <x:row r="24">
      <x:c r="A24" t="str">
        <x:v>A-4e44e8</x:v>
      </x:c>
      <x:c r="B24" t="str">
        <x:v>Company_22</x:v>
      </x:c>
      <x:c r="C24" t="str">
        <x:v>DevTools</x:v>
      </x:c>
      <x:c r="D24" t="str">
        <x:v>US</x:v>
      </x:c>
      <x:c r="E24" s="14" t="n">
        <x:v>45524</x:v>
      </x:c>
      <x:c r="F24" t="str">
        <x:v>2024-08</x:v>
      </x:c>
      <x:c r="G24" t="str">
        <x:v>ads</x:v>
      </x:c>
      <x:c r="H24" t="str">
        <x:v>Enterprise</x:v>
      </x:c>
      <x:c r="I24" t="n">
        <x:v>3</x:v>
      </x:c>
      <x:c r="J24" s="1" t="b">
        <x:v>0</x:v>
      </x:c>
      <x:c r="K24" t="str">
        <x:v>Churned</x:v>
      </x:c>
      <x:c r="L24" t="n">
        <x:v>52</x:v>
      </x:c>
      <x:c r="M24" t="str">
        <x:v>budget</x:v>
      </x:c>
      <x:c r="N24" t="n">
        <x:v>2</x:v>
      </x:c>
      <x:c r="O24" t="n">
        <x:v>14</x:v>
      </x:c>
      <x:c r="P24" s="16" t="n">
        <x:v>20531</x:v>
      </x:c>
      <x:c r="Q24" t="n">
        <x:v>2</x:v>
      </x:c>
      <x:c r="R24" t="n">
        <x:v>0</x:v>
      </x:c>
      <x:c r="S24" t="n">
        <x:v>687</x:v>
      </x:c>
      <x:c r="T24" s="18" t="n">
        <x:v>57.88527777777778</x:v>
      </x:c>
      <x:c r="U24" t="n">
        <x:v>37</x:v>
      </x:c>
      <x:c r="V24" t="n">
        <x:v>32</x:v>
      </x:c>
      <x:c r="W24" t="n">
        <x:v>3</x:v>
      </x:c>
      <x:c r="X24" s="18" t="n">
        <x:v>31.333333333333332</x:v>
      </x:c>
      <x:c r="Y24" s="18" t="n">
        <x:v>76.66666666666667</x:v>
      </x:c>
      <x:c r="Z24" s="18" t="n">
        <x:v>3.3333333333333335</x:v>
      </x:c>
      <x:c r="AA24" t="n">
        <x:v>0</x:v>
      </x:c>
    </x:row>
    <x:row r="25">
      <x:c r="A25" t="str">
        <x:v>A-30b4ca</x:v>
      </x:c>
      <x:c r="B25" t="str">
        <x:v>Company_23</x:v>
      </x:c>
      <x:c r="C25" t="str">
        <x:v>EdTech</x:v>
      </x:c>
      <x:c r="D25" t="str">
        <x:v>IN</x:v>
      </x:c>
      <x:c r="E25" s="14" t="n">
        <x:v>45432</x:v>
      </x:c>
      <x:c r="F25" t="str">
        <x:v>2024-05</x:v>
      </x:c>
      <x:c r="G25" t="str">
        <x:v>organic</x:v>
      </x:c>
      <x:c r="H25" t="str">
        <x:v>Basic</x:v>
      </x:c>
      <x:c r="I25" t="n">
        <x:v>86</x:v>
      </x:c>
      <x:c r="J25" s="1" t="b">
        <x:v>0</x:v>
      </x:c>
      <x:c r="K25" t="str">
        <x:v>Churned</x:v>
      </x:c>
      <x:c r="L25" t="n">
        <x:v>104</x:v>
      </x:c>
      <x:c r="M25" t="str">
        <x:v>features</x:v>
      </x:c>
      <x:c r="N25" t="n">
        <x:v>1</x:v>
      </x:c>
      <x:c r="O25" t="n">
        <x:v>8</x:v>
      </x:c>
      <x:c r="P25" s="16" t="n">
        <x:v>75938</x:v>
      </x:c>
      <x:c r="Q25" t="n">
        <x:v>0</x:v>
      </x:c>
      <x:c r="R25" t="n">
        <x:v>0</x:v>
      </x:c>
      <x:c r="S25" t="n">
        <x:v>402</x:v>
      </x:c>
      <x:c r="T25" s="18" t="n">
        <x:v>35.39805555555556</x:v>
      </x:c>
      <x:c r="U25" t="n">
        <x:v>22</x:v>
      </x:c>
      <x:c r="V25" t="n">
        <x:v>28</x:v>
      </x:c>
      <x:c r="W25" t="n">
        <x:v>3</x:v>
      </x:c>
      <x:c r="X25" s="18" t="n">
        <x:v>57.666666666666664</x:v>
      </x:c>
      <x:c r="Y25" s="18" t="n">
        <x:v>108.33333333333333</x:v>
      </x:c>
      <x:c r="Z25" s="18" t="n">
        <x:v>4</x:v>
      </x:c>
      <x:c r="AA25" t="n">
        <x:v>0</x:v>
      </x:c>
    </x:row>
    <x:row r="26">
      <x:c r="A26" t="str">
        <x:v>A-9f2731</x:v>
      </x:c>
      <x:c r="B26" t="str">
        <x:v>Company_24</x:v>
      </x:c>
      <x:c r="C26" t="str">
        <x:v>FinTech</x:v>
      </x:c>
      <x:c r="D26" t="str">
        <x:v>IN</x:v>
      </x:c>
      <x:c r="E26" s="14" t="n">
        <x:v>45569</x:v>
      </x:c>
      <x:c r="F26" t="str">
        <x:v>2024-10</x:v>
      </x:c>
      <x:c r="G26" t="str">
        <x:v>event</x:v>
      </x:c>
      <x:c r="H26" t="str">
        <x:v>Enterprise</x:v>
      </x:c>
      <x:c r="I26" t="n">
        <x:v>1</x:v>
      </x:c>
      <x:c r="J26" s="1" t="b">
        <x:v>0</x:v>
      </x:c>
      <x:c r="K26" t="str">
        <x:v>Active</x:v>
      </x:c>
      <x:c r="L26" t="n">
        <x:v>88</x:v>
      </x:c>
      <x:c r="M26" t="str"/>
      <x:c r="N26" t="n">
        <x:v>2</x:v>
      </x:c>
      <x:c r="O26" t="n">
        <x:v>7</x:v>
      </x:c>
      <x:c r="P26" s="16" t="n">
        <x:v>3613</x:v>
      </x:c>
      <x:c r="Q26" t="n">
        <x:v>0</x:v>
      </x:c>
      <x:c r="R26" t="n">
        <x:v>1</x:v>
      </x:c>
      <x:c r="S26" t="n">
        <x:v>324</x:v>
      </x:c>
      <x:c r="T26" s="18" t="n">
        <x:v>27.253611111111113</x:v>
      </x:c>
      <x:c r="U26" t="n">
        <x:v>20</x:v>
      </x:c>
      <x:c r="V26" t="n">
        <x:v>23</x:v>
      </x:c>
      <x:c r="W26" t="n">
        <x:v>0</x:v>
      </x:c>
      <x:c r="X26" s="18"/>
      <x:c r="Y26" s="18"/>
      <x:c r="Z26" s="18"/>
      <x:c r="AA26" t="n">
        <x:v>0</x:v>
      </x:c>
    </x:row>
    <x:row r="27">
      <x:c r="A27" t="str">
        <x:v>A-32fb14</x:v>
      </x:c>
      <x:c r="B27" t="str">
        <x:v>Company_25</x:v>
      </x:c>
      <x:c r="C27" t="str">
        <x:v>DevTools</x:v>
      </x:c>
      <x:c r="D27" t="str">
        <x:v>US</x:v>
      </x:c>
      <x:c r="E27" s="14" t="n">
        <x:v>44992</x:v>
      </x:c>
      <x:c r="F27" t="str">
        <x:v>2023-03</x:v>
      </x:c>
      <x:c r="G27" t="str">
        <x:v>event</x:v>
      </x:c>
      <x:c r="H27" t="str">
        <x:v>Enterprise</x:v>
      </x:c>
      <x:c r="I27" t="n">
        <x:v>26</x:v>
      </x:c>
      <x:c r="J27" s="1" t="b">
        <x:v>0</x:v>
      </x:c>
      <x:c r="K27" t="str">
        <x:v>Churned</x:v>
      </x:c>
      <x:c r="L27" t="n">
        <x:v>418</x:v>
      </x:c>
      <x:c r="M27" t="str">
        <x:v>competitor</x:v>
      </x:c>
      <x:c r="N27" t="n">
        <x:v>3</x:v>
      </x:c>
      <x:c r="O27" t="n">
        <x:v>9</x:v>
      </x:c>
      <x:c r="P27" s="16" t="n">
        <x:v>8775</x:v>
      </x:c>
      <x:c r="Q27" t="n">
        <x:v>2</x:v>
      </x:c>
      <x:c r="R27" t="n">
        <x:v>0</x:v>
      </x:c>
      <x:c r="S27" t="n">
        <x:v>488</x:v>
      </x:c>
      <x:c r="T27" s="18" t="n">
        <x:v>41.86333333333334</x:v>
      </x:c>
      <x:c r="U27" t="n">
        <x:v>19</x:v>
      </x:c>
      <x:c r="V27" t="n">
        <x:v>27</x:v>
      </x:c>
      <x:c r="W27" t="n">
        <x:v>5</x:v>
      </x:c>
      <x:c r="X27" s="18" t="n">
        <x:v>34</x:v>
      </x:c>
      <x:c r="Y27" s="18" t="n">
        <x:v>59.6</x:v>
      </x:c>
      <x:c r="Z27" s="18" t="n">
        <x:v>4.5</x:v>
      </x:c>
      <x:c r="AA27" t="n">
        <x:v>0</x:v>
      </x:c>
    </x:row>
    <x:row r="28">
      <x:c r="A28" t="str">
        <x:v>A-00cac8</x:v>
      </x:c>
      <x:c r="B28" t="str">
        <x:v>Company_26</x:v>
      </x:c>
      <x:c r="C28" t="str">
        <x:v>HealthTech</x:v>
      </x:c>
      <x:c r="D28" t="str">
        <x:v>AU</x:v>
      </x:c>
      <x:c r="E28" s="14" t="n">
        <x:v>45184</x:v>
      </x:c>
      <x:c r="F28" t="str">
        <x:v>2023-09</x:v>
      </x:c>
      <x:c r="G28" t="str">
        <x:v>organic</x:v>
      </x:c>
      <x:c r="H28" t="str">
        <x:v>Enterprise</x:v>
      </x:c>
      <x:c r="I28" t="n">
        <x:v>8</x:v>
      </x:c>
      <x:c r="J28" s="1" t="b">
        <x:v>1</x:v>
      </x:c>
      <x:c r="K28" t="str">
        <x:v>Active</x:v>
      </x:c>
      <x:c r="L28" t="n">
        <x:v>473</x:v>
      </x:c>
      <x:c r="M28" t="str"/>
      <x:c r="N28" t="n">
        <x:v>0</x:v>
      </x:c>
      <x:c r="O28" t="n">
        <x:v>9</x:v>
      </x:c>
      <x:c r="P28" s="16" t="n">
        <x:v>14121</x:v>
      </x:c>
      <x:c r="Q28" t="n">
        <x:v>0</x:v>
      </x:c>
      <x:c r="R28" t="n">
        <x:v>1</x:v>
      </x:c>
      <x:c r="S28" t="n">
        <x:v>602</x:v>
      </x:c>
      <x:c r="T28" s="18" t="n">
        <x:v>47.60166666666667</x:v>
      </x:c>
      <x:c r="U28" t="n">
        <x:v>31</x:v>
      </x:c>
      <x:c r="V28" t="n">
        <x:v>30</x:v>
      </x:c>
      <x:c r="W28" t="n">
        <x:v>2</x:v>
      </x:c>
      <x:c r="X28" s="18" t="n">
        <x:v>33</x:v>
      </x:c>
      <x:c r="Y28" s="18" t="n">
        <x:v>120.5</x:v>
      </x:c>
      <x:c r="Z28" s="18"/>
      <x:c r="AA28" t="n">
        <x:v>0</x:v>
      </x:c>
    </x:row>
    <x:row r="29">
      <x:c r="A29" t="str">
        <x:v>A-35083d</x:v>
      </x:c>
      <x:c r="B29" t="str">
        <x:v>Company_27</x:v>
      </x:c>
      <x:c r="C29" t="str">
        <x:v>HealthTech</x:v>
      </x:c>
      <x:c r="D29" t="str">
        <x:v>IN</x:v>
      </x:c>
      <x:c r="E29" s="14" t="n">
        <x:v>45044</x:v>
      </x:c>
      <x:c r="F29" t="str">
        <x:v>2023-04</x:v>
      </x:c>
      <x:c r="G29" t="str">
        <x:v>partner</x:v>
      </x:c>
      <x:c r="H29" t="str">
        <x:v>Basic</x:v>
      </x:c>
      <x:c r="I29" t="n">
        <x:v>19</x:v>
      </x:c>
      <x:c r="J29" s="1" t="b">
        <x:v>0</x:v>
      </x:c>
      <x:c r="K29" t="str">
        <x:v>Churned</x:v>
      </x:c>
      <x:c r="L29" t="n">
        <x:v>613</x:v>
      </x:c>
      <x:c r="M29" t="str"/>
      <x:c r="N29" t="n">
        <x:v>0</x:v>
      </x:c>
      <x:c r="O29" t="n">
        <x:v>16</x:v>
      </x:c>
      <x:c r="P29" s="16" t="n">
        <x:v>31502</x:v>
      </x:c>
      <x:c r="Q29" t="n">
        <x:v>3</x:v>
      </x:c>
      <x:c r="R29" t="n">
        <x:v>0</x:v>
      </x:c>
      <x:c r="S29" t="n">
        <x:v>791</x:v>
      </x:c>
      <x:c r="T29" s="18" t="n">
        <x:v>65.84861111111111</x:v>
      </x:c>
      <x:c r="U29" t="n">
        <x:v>37</x:v>
      </x:c>
      <x:c r="V29" t="n">
        <x:v>29</x:v>
      </x:c>
      <x:c r="W29" t="n">
        <x:v>4</x:v>
      </x:c>
      <x:c r="X29" s="18" t="n">
        <x:v>49.75</x:v>
      </x:c>
      <x:c r="Y29" s="18" t="n">
        <x:v>119</x:v>
      </x:c>
      <x:c r="Z29" s="18" t="n">
        <x:v>5</x:v>
      </x:c>
      <x:c r="AA29" t="n">
        <x:v>0</x:v>
      </x:c>
    </x:row>
    <x:row r="30">
      <x:c r="A30" t="str">
        <x:v>A-eb7fac</x:v>
      </x:c>
      <x:c r="B30" t="str">
        <x:v>Company_28</x:v>
      </x:c>
      <x:c r="C30" t="str">
        <x:v>DevTools</x:v>
      </x:c>
      <x:c r="D30" t="str">
        <x:v>US</x:v>
      </x:c>
      <x:c r="E30" s="14" t="n">
        <x:v>45227</x:v>
      </x:c>
      <x:c r="F30" t="str">
        <x:v>2023-10</x:v>
      </x:c>
      <x:c r="G30" t="str">
        <x:v>organic</x:v>
      </x:c>
      <x:c r="H30" t="str">
        <x:v>Enterprise</x:v>
      </x:c>
      <x:c r="I30" t="n">
        <x:v>7</x:v>
      </x:c>
      <x:c r="J30" s="1" t="b">
        <x:v>0</x:v>
      </x:c>
      <x:c r="K30" t="str">
        <x:v>Active</x:v>
      </x:c>
      <x:c r="L30" t="n">
        <x:v>430</x:v>
      </x:c>
      <x:c r="M30" t="str"/>
      <x:c r="N30" t="n">
        <x:v>1</x:v>
      </x:c>
      <x:c r="O30" t="n">
        <x:v>10</x:v>
      </x:c>
      <x:c r="P30" s="16" t="n">
        <x:v>41753</x:v>
      </x:c>
      <x:c r="Q30" t="n">
        <x:v>0</x:v>
      </x:c>
      <x:c r="R30" t="n">
        <x:v>0</x:v>
      </x:c>
      <x:c r="S30" t="n">
        <x:v>538</x:v>
      </x:c>
      <x:c r="T30" s="18" t="n">
        <x:v>51.591388888888886</x:v>
      </x:c>
      <x:c r="U30" t="n">
        <x:v>44</x:v>
      </x:c>
      <x:c r="V30" t="n">
        <x:v>27</x:v>
      </x:c>
      <x:c r="W30" t="n">
        <x:v>4</x:v>
      </x:c>
      <x:c r="X30" s="18" t="n">
        <x:v>34</x:v>
      </x:c>
      <x:c r="Y30" s="18" t="n">
        <x:v>126.5</x:v>
      </x:c>
      <x:c r="Z30" s="18" t="n">
        <x:v>4</x:v>
      </x:c>
      <x:c r="AA30" t="n">
        <x:v>0</x:v>
      </x:c>
    </x:row>
    <x:row r="31">
      <x:c r="A31" t="str">
        <x:v>A-b20d99</x:v>
      </x:c>
      <x:c r="B31" t="str">
        <x:v>Company_29</x:v>
      </x:c>
      <x:c r="C31" t="str">
        <x:v>HealthTech</x:v>
      </x:c>
      <x:c r="D31" t="str">
        <x:v>IN</x:v>
      </x:c>
      <x:c r="E31" s="14" t="n">
        <x:v>45196</x:v>
      </x:c>
      <x:c r="F31" t="str">
        <x:v>2023-09</x:v>
      </x:c>
      <x:c r="G31" t="str">
        <x:v>other</x:v>
      </x:c>
      <x:c r="H31" t="str">
        <x:v>Basic</x:v>
      </x:c>
      <x:c r="I31" t="n">
        <x:v>20</x:v>
      </x:c>
      <x:c r="J31" s="1" t="b">
        <x:v>0</x:v>
      </x:c>
      <x:c r="K31" t="str">
        <x:v>Active</x:v>
      </x:c>
      <x:c r="L31" t="n">
        <x:v>461</x:v>
      </x:c>
      <x:c r="M31" t="str"/>
      <x:c r="N31" t="n">
        <x:v>1</x:v>
      </x:c>
      <x:c r="O31" t="n">
        <x:v>7</x:v>
      </x:c>
      <x:c r="P31" s="16" t="n">
        <x:v>11069</x:v>
      </x:c>
      <x:c r="Q31" t="n">
        <x:v>1</x:v>
      </x:c>
      <x:c r="R31" t="n">
        <x:v>0</x:v>
      </x:c>
      <x:c r="S31" t="n">
        <x:v>329</x:v>
      </x:c>
      <x:c r="T31" s="18" t="n">
        <x:v>29.226111111111113</x:v>
      </x:c>
      <x:c r="U31" t="n">
        <x:v>12</x:v>
      </x:c>
      <x:c r="V31" t="n">
        <x:v>22</x:v>
      </x:c>
      <x:c r="W31" t="n">
        <x:v>2</x:v>
      </x:c>
      <x:c r="X31" s="18" t="n">
        <x:v>61.5</x:v>
      </x:c>
      <x:c r="Y31" s="18" t="n">
        <x:v>27</x:v>
      </x:c>
      <x:c r="Z31" s="18" t="n">
        <x:v>3.5</x:v>
      </x:c>
      <x:c r="AA31" t="n">
        <x:v>0</x:v>
      </x:c>
    </x:row>
    <x:row r="32">
      <x:c r="A32" t="str">
        <x:v>A-396e5f</x:v>
      </x:c>
      <x:c r="B32" t="str">
        <x:v>Company_30</x:v>
      </x:c>
      <x:c r="C32" t="str">
        <x:v>Cybersecurity</x:v>
      </x:c>
      <x:c r="D32" t="str">
        <x:v>CA</x:v>
      </x:c>
      <x:c r="E32" s="14" t="n">
        <x:v>45567</x:v>
      </x:c>
      <x:c r="F32" t="str">
        <x:v>2024-10</x:v>
      </x:c>
      <x:c r="G32" t="str">
        <x:v>other</x:v>
      </x:c>
      <x:c r="H32" t="str">
        <x:v>Enterprise</x:v>
      </x:c>
      <x:c r="I32" t="n">
        <x:v>2</x:v>
      </x:c>
      <x:c r="J32" s="1" t="b">
        <x:v>0</x:v>
      </x:c>
      <x:c r="K32" t="str">
        <x:v>Active</x:v>
      </x:c>
      <x:c r="L32" t="n">
        <x:v>90</x:v>
      </x:c>
      <x:c r="M32" t="str"/>
      <x:c r="N32" t="n">
        <x:v>1</x:v>
      </x:c>
      <x:c r="O32" t="n">
        <x:v>10</x:v>
      </x:c>
      <x:c r="P32" s="16" t="n">
        <x:v>10236</x:v>
      </x:c>
      <x:c r="Q32" t="n">
        <x:v>2</x:v>
      </x:c>
      <x:c r="R32" t="n">
        <x:v>1</x:v>
      </x:c>
      <x:c r="S32" t="n">
        <x:v>540</x:v>
      </x:c>
      <x:c r="T32" s="18" t="n">
        <x:v>48.72972222222222</x:v>
      </x:c>
      <x:c r="U32" t="n">
        <x:v>23</x:v>
      </x:c>
      <x:c r="V32" t="n">
        <x:v>29</x:v>
      </x:c>
      <x:c r="W32" t="n">
        <x:v>5</x:v>
      </x:c>
      <x:c r="X32" s="18" t="n">
        <x:v>24.8</x:v>
      </x:c>
      <x:c r="Y32" s="18" t="n">
        <x:v>102.8</x:v>
      </x:c>
      <x:c r="Z32" s="18" t="n">
        <x:v>4</x:v>
      </x:c>
      <x:c r="AA32" t="n">
        <x:v>1</x:v>
      </x:c>
    </x:row>
    <x:row r="33">
      <x:c r="A33" t="str">
        <x:v>A-45ce7a</x:v>
      </x:c>
      <x:c r="B33" t="str">
        <x:v>Company_31</x:v>
      </x:c>
      <x:c r="C33" t="str">
        <x:v>FinTech</x:v>
      </x:c>
      <x:c r="D33" t="str">
        <x:v>US</x:v>
      </x:c>
      <x:c r="E33" s="14" t="n">
        <x:v>45130</x:v>
      </x:c>
      <x:c r="F33" t="str">
        <x:v>2023-07</x:v>
      </x:c>
      <x:c r="G33" t="str">
        <x:v>ads</x:v>
      </x:c>
      <x:c r="H33" t="str">
        <x:v>Enterprise</x:v>
      </x:c>
      <x:c r="I33" t="n">
        <x:v>16</x:v>
      </x:c>
      <x:c r="J33" s="1" t="b">
        <x:v>0</x:v>
      </x:c>
      <x:c r="K33" t="str">
        <x:v>Active</x:v>
      </x:c>
      <x:c r="L33" t="n">
        <x:v>527</x:v>
      </x:c>
      <x:c r="M33" t="str"/>
      <x:c r="N33" t="n">
        <x:v>0</x:v>
      </x:c>
      <x:c r="O33" t="n">
        <x:v>7</x:v>
      </x:c>
      <x:c r="P33" s="16" t="n">
        <x:v>7432</x:v>
      </x:c>
      <x:c r="Q33" t="n">
        <x:v>2</x:v>
      </x:c>
      <x:c r="R33" t="n">
        <x:v>1</x:v>
      </x:c>
      <x:c r="S33" t="n">
        <x:v>424</x:v>
      </x:c>
      <x:c r="T33" s="18" t="n">
        <x:v>34.71611111111111</x:v>
      </x:c>
      <x:c r="U33" t="n">
        <x:v>30</x:v>
      </x:c>
      <x:c r="V33" t="n">
        <x:v>21</x:v>
      </x:c>
      <x:c r="W33" t="n">
        <x:v>5</x:v>
      </x:c>
      <x:c r="X33" s="18" t="n">
        <x:v>45.4</x:v>
      </x:c>
      <x:c r="Y33" s="18" t="n">
        <x:v>91.8</x:v>
      </x:c>
      <x:c r="Z33" s="18" t="n">
        <x:v>3.6666666666666665</x:v>
      </x:c>
      <x:c r="AA33" t="n">
        <x:v>0</x:v>
      </x:c>
    </x:row>
    <x:row r="34">
      <x:c r="A34" t="str">
        <x:v>A-08e34e</x:v>
      </x:c>
      <x:c r="B34" t="str">
        <x:v>Company_32</x:v>
      </x:c>
      <x:c r="C34" t="str">
        <x:v>EdTech</x:v>
      </x:c>
      <x:c r="D34" t="str">
        <x:v>US</x:v>
      </x:c>
      <x:c r="E34" s="14" t="n">
        <x:v>45470</x:v>
      </x:c>
      <x:c r="F34" t="str">
        <x:v>2024-06</x:v>
      </x:c>
      <x:c r="G34" t="str">
        <x:v>event</x:v>
      </x:c>
      <x:c r="H34" t="str">
        <x:v>Basic</x:v>
      </x:c>
      <x:c r="I34" t="n">
        <x:v>14</x:v>
      </x:c>
      <x:c r="J34" s="1" t="b">
        <x:v>0</x:v>
      </x:c>
      <x:c r="K34" t="str">
        <x:v>Churned</x:v>
      </x:c>
      <x:c r="L34" t="n">
        <x:v>66</x:v>
      </x:c>
      <x:c r="M34" t="str">
        <x:v>features</x:v>
      </x:c>
      <x:c r="N34" t="n">
        <x:v>2</x:v>
      </x:c>
      <x:c r="O34" t="n">
        <x:v>11</x:v>
      </x:c>
      <x:c r="P34" s="16" t="n">
        <x:v>21821</x:v>
      </x:c>
      <x:c r="Q34" t="n">
        <x:v>0</x:v>
      </x:c>
      <x:c r="R34" t="n">
        <x:v>0</x:v>
      </x:c>
      <x:c r="S34" t="n">
        <x:v>651</x:v>
      </x:c>
      <x:c r="T34" s="18" t="n">
        <x:v>51.92472222222222</x:v>
      </x:c>
      <x:c r="U34" t="n">
        <x:v>32</x:v>
      </x:c>
      <x:c r="V34" t="n">
        <x:v>34</x:v>
      </x:c>
      <x:c r="W34" t="n">
        <x:v>3</x:v>
      </x:c>
      <x:c r="X34" s="18" t="n">
        <x:v>43</x:v>
      </x:c>
      <x:c r="Y34" s="18" t="n">
        <x:v>84</x:v>
      </x:c>
      <x:c r="Z34" s="18" t="n">
        <x:v>3</x:v>
      </x:c>
      <x:c r="AA34" t="n">
        <x:v>0</x:v>
      </x:c>
    </x:row>
    <x:row r="35">
      <x:c r="A35" t="str">
        <x:v>A-8145a0</x:v>
      </x:c>
      <x:c r="B35" t="str">
        <x:v>Company_33</x:v>
      </x:c>
      <x:c r="C35" t="str">
        <x:v>Cybersecurity</x:v>
      </x:c>
      <x:c r="D35" t="str">
        <x:v>AU</x:v>
      </x:c>
      <x:c r="E35" s="14" t="n">
        <x:v>45041</x:v>
      </x:c>
      <x:c r="F35" t="str">
        <x:v>2023-04</x:v>
      </x:c>
      <x:c r="G35" t="str">
        <x:v>partner</x:v>
      </x:c>
      <x:c r="H35" t="str">
        <x:v>Basic</x:v>
      </x:c>
      <x:c r="I35" t="n">
        <x:v>2</x:v>
      </x:c>
      <x:c r="J35" s="1" t="b">
        <x:v>1</x:v>
      </x:c>
      <x:c r="K35" t="str">
        <x:v>Active</x:v>
      </x:c>
      <x:c r="L35" t="n">
        <x:v>616</x:v>
      </x:c>
      <x:c r="M35" t="str"/>
      <x:c r="N35" t="n">
        <x:v>1</x:v>
      </x:c>
      <x:c r="O35" t="n">
        <x:v>12</x:v>
      </x:c>
      <x:c r="P35" s="16" t="n">
        <x:v>12285</x:v>
      </x:c>
      <x:c r="Q35" t="n">
        <x:v>2</x:v>
      </x:c>
      <x:c r="R35" t="n">
        <x:v>0</x:v>
      </x:c>
      <x:c r="S35" t="n">
        <x:v>693</x:v>
      </x:c>
      <x:c r="T35" s="18" t="n">
        <x:v>55.60472222222222</x:v>
      </x:c>
      <x:c r="U35" t="n">
        <x:v>27</x:v>
      </x:c>
      <x:c r="V35" t="n">
        <x:v>32</x:v>
      </x:c>
      <x:c r="W35" t="n">
        <x:v>6</x:v>
      </x:c>
      <x:c r="X35" s="18" t="n">
        <x:v>23.666666666666668</x:v>
      </x:c>
      <x:c r="Y35" s="18" t="n">
        <x:v>90.16666666666667</x:v>
      </x:c>
      <x:c r="Z35" s="18" t="n">
        <x:v>4</x:v>
      </x:c>
      <x:c r="AA35" t="n">
        <x:v>0</x:v>
      </x:c>
    </x:row>
    <x:row r="36">
      <x:c r="A36" t="str">
        <x:v>A-bad8c1</x:v>
      </x:c>
      <x:c r="B36" t="str">
        <x:v>Company_34</x:v>
      </x:c>
      <x:c r="C36" t="str">
        <x:v>FinTech</x:v>
      </x:c>
      <x:c r="D36" t="str">
        <x:v>AU</x:v>
      </x:c>
      <x:c r="E36" s="14" t="n">
        <x:v>44986</x:v>
      </x:c>
      <x:c r="F36" t="str">
        <x:v>2023-03</x:v>
      </x:c>
      <x:c r="G36" t="str">
        <x:v>organic</x:v>
      </x:c>
      <x:c r="H36" t="str">
        <x:v>Basic</x:v>
      </x:c>
      <x:c r="I36" t="n">
        <x:v>7</x:v>
      </x:c>
      <x:c r="J36" s="1" t="b">
        <x:v>0</x:v>
      </x:c>
      <x:c r="K36" t="str">
        <x:v>Active</x:v>
      </x:c>
      <x:c r="L36" t="n">
        <x:v>671</x:v>
      </x:c>
      <x:c r="M36" t="str"/>
      <x:c r="N36" t="n">
        <x:v>1</x:v>
      </x:c>
      <x:c r="O36" t="n">
        <x:v>7</x:v>
      </x:c>
      <x:c r="P36" s="16" t="n">
        <x:v>7797</x:v>
      </x:c>
      <x:c r="Q36" t="n">
        <x:v>2</x:v>
      </x:c>
      <x:c r="R36" t="n">
        <x:v>0</x:v>
      </x:c>
      <x:c r="S36" t="n">
        <x:v>385</x:v>
      </x:c>
      <x:c r="T36" s="18" t="n">
        <x:v>34.90972222222222</x:v>
      </x:c>
      <x:c r="U36" t="n">
        <x:v>11</x:v>
      </x:c>
      <x:c r="V36" t="n">
        <x:v>29</x:v>
      </x:c>
      <x:c r="W36" t="n">
        <x:v>1</x:v>
      </x:c>
      <x:c r="X36" s="18" t="n">
        <x:v>27</x:v>
      </x:c>
      <x:c r="Y36" s="18" t="n">
        <x:v>49</x:v>
      </x:c>
      <x:c r="Z36" s="18" t="n">
        <x:v>4</x:v>
      </x:c>
      <x:c r="AA36" t="n">
        <x:v>0</x:v>
      </x:c>
    </x:row>
    <x:row r="37">
      <x:c r="A37" t="str">
        <x:v>A-44dc83</x:v>
      </x:c>
      <x:c r="B37" t="str">
        <x:v>Company_35</x:v>
      </x:c>
      <x:c r="C37" t="str">
        <x:v>EdTech</x:v>
      </x:c>
      <x:c r="D37" t="str">
        <x:v>FR</x:v>
      </x:c>
      <x:c r="E37" s="14" t="n">
        <x:v>45424</x:v>
      </x:c>
      <x:c r="F37" t="str">
        <x:v>2024-05</x:v>
      </x:c>
      <x:c r="G37" t="str">
        <x:v>other</x:v>
      </x:c>
      <x:c r="H37" t="str">
        <x:v>Basic</x:v>
      </x:c>
      <x:c r="I37" t="n">
        <x:v>5</x:v>
      </x:c>
      <x:c r="J37" s="1" t="b">
        <x:v>0</x:v>
      </x:c>
      <x:c r="K37" t="str">
        <x:v>Active</x:v>
      </x:c>
      <x:c r="L37" t="n">
        <x:v>233</x:v>
      </x:c>
      <x:c r="M37" t="str"/>
      <x:c r="N37" t="n">
        <x:v>1</x:v>
      </x:c>
      <x:c r="O37" t="n">
        <x:v>4</x:v>
      </x:c>
      <x:c r="P37" s="16" t="n">
        <x:v>456</x:v>
      </x:c>
      <x:c r="Q37" t="n">
        <x:v>0</x:v>
      </x:c>
      <x:c r="R37" t="n">
        <x:v>0</x:v>
      </x:c>
      <x:c r="S37" t="n">
        <x:v>248</x:v>
      </x:c>
      <x:c r="T37" s="18" t="n">
        <x:v>22.533055555555556</x:v>
      </x:c>
      <x:c r="U37" t="n">
        <x:v>13</x:v>
      </x:c>
      <x:c r="V37" t="n">
        <x:v>16</x:v>
      </x:c>
      <x:c r="W37" t="n">
        <x:v>7</x:v>
      </x:c>
      <x:c r="X37" s="18" t="n">
        <x:v>40.857142857142854</x:v>
      </x:c>
      <x:c r="Y37" s="18" t="n">
        <x:v>76.14285714285714</x:v>
      </x:c>
      <x:c r="Z37" s="18" t="n">
        <x:v>4.6</x:v>
      </x:c>
      <x:c r="AA37" t="n">
        <x:v>0</x:v>
      </x:c>
    </x:row>
    <x:row r="38">
      <x:c r="A38" t="str">
        <x:v>A-f446b6</x:v>
      </x:c>
      <x:c r="B38" t="str">
        <x:v>Company_36</x:v>
      </x:c>
      <x:c r="C38" t="str">
        <x:v>DevTools</x:v>
      </x:c>
      <x:c r="D38" t="str">
        <x:v>DE</x:v>
      </x:c>
      <x:c r="E38" s="14" t="n">
        <x:v>45058</x:v>
      </x:c>
      <x:c r="F38" t="str">
        <x:v>2023-05</x:v>
      </x:c>
      <x:c r="G38" t="str">
        <x:v>ads</x:v>
      </x:c>
      <x:c r="H38" t="str">
        <x:v>Pro</x:v>
      </x:c>
      <x:c r="I38" t="n">
        <x:v>5</x:v>
      </x:c>
      <x:c r="J38" s="1" t="b">
        <x:v>1</x:v>
      </x:c>
      <x:c r="K38" t="str">
        <x:v>Active</x:v>
      </x:c>
      <x:c r="L38" t="n">
        <x:v>599</x:v>
      </x:c>
      <x:c r="M38" t="str"/>
      <x:c r="N38" t="n">
        <x:v>0</x:v>
      </x:c>
      <x:c r="O38" t="n">
        <x:v>9</x:v>
      </x:c>
      <x:c r="P38" s="16" t="n">
        <x:v>8805</x:v>
      </x:c>
      <x:c r="Q38" t="n">
        <x:v>0</x:v>
      </x:c>
      <x:c r="R38" t="n">
        <x:v>0</x:v>
      </x:c>
      <x:c r="S38" t="n">
        <x:v>376</x:v>
      </x:c>
      <x:c r="T38" s="18" t="n">
        <x:v>35.420833333333334</x:v>
      </x:c>
      <x:c r="U38" t="n">
        <x:v>31</x:v>
      </x:c>
      <x:c r="V38" t="n">
        <x:v>27</x:v>
      </x:c>
      <x:c r="W38" t="n">
        <x:v>8</x:v>
      </x:c>
      <x:c r="X38" s="18" t="n">
        <x:v>30.75</x:v>
      </x:c>
      <x:c r="Y38" s="18" t="n">
        <x:v>82.5</x:v>
      </x:c>
      <x:c r="Z38" s="18" t="n">
        <x:v>4.25</x:v>
      </x:c>
      <x:c r="AA38" t="n">
        <x:v>1</x:v>
      </x:c>
    </x:row>
    <x:row r="39">
      <x:c r="A39" t="str">
        <x:v>A-a45270</x:v>
      </x:c>
      <x:c r="B39" t="str">
        <x:v>Company_37</x:v>
      </x:c>
      <x:c r="C39" t="str">
        <x:v>HealthTech</x:v>
      </x:c>
      <x:c r="D39" t="str">
        <x:v>US</x:v>
      </x:c>
      <x:c r="E39" s="14" t="n">
        <x:v>45467</x:v>
      </x:c>
      <x:c r="F39" t="str">
        <x:v>2024-06</x:v>
      </x:c>
      <x:c r="G39" t="str">
        <x:v>ads</x:v>
      </x:c>
      <x:c r="H39" t="str">
        <x:v>Enterprise</x:v>
      </x:c>
      <x:c r="I39" t="n">
        <x:v>3</x:v>
      </x:c>
      <x:c r="J39" s="1" t="b">
        <x:v>0</x:v>
      </x:c>
      <x:c r="K39" t="str">
        <x:v>Active</x:v>
      </x:c>
      <x:c r="L39" t="n">
        <x:v>190</x:v>
      </x:c>
      <x:c r="M39" t="str"/>
      <x:c r="N39" t="n">
        <x:v>1</x:v>
      </x:c>
      <x:c r="O39" t="n">
        <x:v>12</x:v>
      </x:c>
      <x:c r="P39" s="16" t="n">
        <x:v>19984</x:v>
      </x:c>
      <x:c r="Q39" t="n">
        <x:v>2</x:v>
      </x:c>
      <x:c r="R39" t="n">
        <x:v>1</x:v>
      </x:c>
      <x:c r="S39" t="n">
        <x:v>733</x:v>
      </x:c>
      <x:c r="T39" s="18" t="n">
        <x:v>61.82833333333333</x:v>
      </x:c>
      <x:c r="U39" t="n">
        <x:v>53</x:v>
      </x:c>
      <x:c r="V39" t="n">
        <x:v>35</x:v>
      </x:c>
      <x:c r="W39" t="n">
        <x:v>4</x:v>
      </x:c>
      <x:c r="X39" s="18" t="n">
        <x:v>64</x:v>
      </x:c>
      <x:c r="Y39" s="18" t="n">
        <x:v>110</x:v>
      </x:c>
      <x:c r="Z39" s="18" t="n">
        <x:v>4</x:v>
      </x:c>
      <x:c r="AA39" t="n">
        <x:v>0</x:v>
      </x:c>
    </x:row>
    <x:row r="40">
      <x:c r="A40" t="str">
        <x:v>A-854864</x:v>
      </x:c>
      <x:c r="B40" t="str">
        <x:v>Company_38</x:v>
      </x:c>
      <x:c r="C40" t="str">
        <x:v>FinTech</x:v>
      </x:c>
      <x:c r="D40" t="str">
        <x:v>IN</x:v>
      </x:c>
      <x:c r="E40" s="14" t="n">
        <x:v>45633</x:v>
      </x:c>
      <x:c r="F40" t="str">
        <x:v>2024-12</x:v>
      </x:c>
      <x:c r="G40" t="str">
        <x:v>event</x:v>
      </x:c>
      <x:c r="H40" t="str">
        <x:v>Enterprise</x:v>
      </x:c>
      <x:c r="I40" t="n">
        <x:v>20</x:v>
      </x:c>
      <x:c r="J40" s="1" t="b">
        <x:v>0</x:v>
      </x:c>
      <x:c r="K40" t="str">
        <x:v>Active</x:v>
      </x:c>
      <x:c r="L40" t="n">
        <x:v>24</x:v>
      </x:c>
      <x:c r="M40" t="str"/>
      <x:c r="N40" t="n">
        <x:v>1</x:v>
      </x:c>
      <x:c r="O40" t="n">
        <x:v>6</x:v>
      </x:c>
      <x:c r="P40" s="16" t="n">
        <x:v>14379</x:v>
      </x:c>
      <x:c r="Q40" t="n">
        <x:v>0</x:v>
      </x:c>
      <x:c r="R40" t="n">
        <x:v>0</x:v>
      </x:c>
      <x:c r="S40" t="n">
        <x:v>248</x:v>
      </x:c>
      <x:c r="T40" s="18" t="n">
        <x:v>20.421388888888888</x:v>
      </x:c>
      <x:c r="U40" t="n">
        <x:v>10</x:v>
      </x:c>
      <x:c r="V40" t="n">
        <x:v>17</x:v>
      </x:c>
      <x:c r="W40" t="n">
        <x:v>5</x:v>
      </x:c>
      <x:c r="X40" s="18" t="n">
        <x:v>44.2</x:v>
      </x:c>
      <x:c r="Y40" s="18" t="n">
        <x:v>100.8</x:v>
      </x:c>
      <x:c r="Z40" s="18" t="n">
        <x:v>4.8</x:v>
      </x:c>
      <x:c r="AA40" t="n">
        <x:v>0</x:v>
      </x:c>
    </x:row>
    <x:row r="41">
      <x:c r="A41" t="str">
        <x:v>A-1b7577</x:v>
      </x:c>
      <x:c r="B41" t="str">
        <x:v>Company_39</x:v>
      </x:c>
      <x:c r="C41" t="str">
        <x:v>Cybersecurity</x:v>
      </x:c>
      <x:c r="D41" t="str">
        <x:v>US</x:v>
      </x:c>
      <x:c r="E41" s="14" t="n">
        <x:v>45592</x:v>
      </x:c>
      <x:c r="F41" t="str">
        <x:v>2024-10</x:v>
      </x:c>
      <x:c r="G41" t="str">
        <x:v>other</x:v>
      </x:c>
      <x:c r="H41" t="str">
        <x:v>Pro</x:v>
      </x:c>
      <x:c r="I41" t="n">
        <x:v>4</x:v>
      </x:c>
      <x:c r="J41" s="1" t="b">
        <x:v>0</x:v>
      </x:c>
      <x:c r="K41" t="str">
        <x:v>Active</x:v>
      </x:c>
      <x:c r="L41" t="n">
        <x:v>65</x:v>
      </x:c>
      <x:c r="M41" t="str"/>
      <x:c r="N41" t="n">
        <x:v>0</x:v>
      </x:c>
      <x:c r="O41" t="n">
        <x:v>11</x:v>
      </x:c>
      <x:c r="P41" s="16" t="n">
        <x:v>8505</x:v>
      </x:c>
      <x:c r="Q41" t="n">
        <x:v>0</x:v>
      </x:c>
      <x:c r="R41" t="n">
        <x:v>1</x:v>
      </x:c>
      <x:c r="S41" t="n">
        <x:v>647</x:v>
      </x:c>
      <x:c r="T41" s="18" t="n">
        <x:v>54.33277777777778</x:v>
      </x:c>
      <x:c r="U41" t="n">
        <x:v>33</x:v>
      </x:c>
      <x:c r="V41" t="n">
        <x:v>33</x:v>
      </x:c>
      <x:c r="W41" t="n">
        <x:v>5</x:v>
      </x:c>
      <x:c r="X41" s="18" t="n">
        <x:v>27.2</x:v>
      </x:c>
      <x:c r="Y41" s="18" t="n">
        <x:v>109.4</x:v>
      </x:c>
      <x:c r="Z41" s="18" t="n">
        <x:v>4</x:v>
      </x:c>
      <x:c r="AA41" t="n">
        <x:v>0</x:v>
      </x:c>
    </x:row>
    <x:row r="42">
      <x:c r="A42" t="str">
        <x:v>A-05f0e5</x:v>
      </x:c>
      <x:c r="B42" t="str">
        <x:v>Company_40</x:v>
      </x:c>
      <x:c r="C42" t="str">
        <x:v>FinTech</x:v>
      </x:c>
      <x:c r="D42" t="str">
        <x:v>US</x:v>
      </x:c>
      <x:c r="E42" s="14" t="n">
        <x:v>45050</x:v>
      </x:c>
      <x:c r="F42" t="str">
        <x:v>2023-05</x:v>
      </x:c>
      <x:c r="G42" t="str">
        <x:v>partner</x:v>
      </x:c>
      <x:c r="H42" t="str">
        <x:v>Basic</x:v>
      </x:c>
      <x:c r="I42" t="n">
        <x:v>32</x:v>
      </x:c>
      <x:c r="J42" s="1" t="b">
        <x:v>0</x:v>
      </x:c>
      <x:c r="K42" t="str">
        <x:v>Active</x:v>
      </x:c>
      <x:c r="L42" t="n">
        <x:v>607</x:v>
      </x:c>
      <x:c r="M42" t="str"/>
      <x:c r="N42" t="n">
        <x:v>2</x:v>
      </x:c>
      <x:c r="O42" t="n">
        <x:v>12</x:v>
      </x:c>
      <x:c r="P42" s="16" t="n">
        <x:v>51109</x:v>
      </x:c>
      <x:c r="Q42" t="n">
        <x:v>2</x:v>
      </x:c>
      <x:c r="R42" t="n">
        <x:v>0</x:v>
      </x:c>
      <x:c r="S42" t="n">
        <x:v>706</x:v>
      </x:c>
      <x:c r="T42" s="18" t="n">
        <x:v>57.532222222222224</x:v>
      </x:c>
      <x:c r="U42" t="n">
        <x:v>46</x:v>
      </x:c>
      <x:c r="V42" t="n">
        <x:v>32</x:v>
      </x:c>
      <x:c r="W42" t="n">
        <x:v>4</x:v>
      </x:c>
      <x:c r="X42" s="18" t="n">
        <x:v>20</x:v>
      </x:c>
      <x:c r="Y42" s="18" t="n">
        <x:v>108.5</x:v>
      </x:c>
      <x:c r="Z42" s="18" t="n">
        <x:v>4</x:v>
      </x:c>
      <x:c r="AA42" t="n">
        <x:v>0</x:v>
      </x:c>
    </x:row>
    <x:row r="43">
      <x:c r="A43" t="str">
        <x:v>A-9077b0</x:v>
      </x:c>
      <x:c r="B43" t="str">
        <x:v>Company_41</x:v>
      </x:c>
      <x:c r="C43" t="str">
        <x:v>HealthTech</x:v>
      </x:c>
      <x:c r="D43" t="str">
        <x:v>US</x:v>
      </x:c>
      <x:c r="E43" s="14" t="n">
        <x:v>45529</x:v>
      </x:c>
      <x:c r="F43" t="str">
        <x:v>2024-08</x:v>
      </x:c>
      <x:c r="G43" t="str">
        <x:v>ads</x:v>
      </x:c>
      <x:c r="H43" t="str">
        <x:v>Basic</x:v>
      </x:c>
      <x:c r="I43" t="n">
        <x:v>2</x:v>
      </x:c>
      <x:c r="J43" s="1" t="b">
        <x:v>0</x:v>
      </x:c>
      <x:c r="K43" t="str">
        <x:v>Active</x:v>
      </x:c>
      <x:c r="L43" t="n">
        <x:v>128</x:v>
      </x:c>
      <x:c r="M43" t="str"/>
      <x:c r="N43" t="n">
        <x:v>0</x:v>
      </x:c>
      <x:c r="O43" t="n">
        <x:v>7</x:v>
      </x:c>
      <x:c r="P43" s="16" t="n">
        <x:v>779</x:v>
      </x:c>
      <x:c r="Q43" t="n">
        <x:v>3</x:v>
      </x:c>
      <x:c r="R43" t="n">
        <x:v>0</x:v>
      </x:c>
      <x:c r="S43" t="n">
        <x:v>493</x:v>
      </x:c>
      <x:c r="T43" s="18" t="n">
        <x:v>40.63916666666667</x:v>
      </x:c>
      <x:c r="U43" t="n">
        <x:v>31</x:v>
      </x:c>
      <x:c r="V43" t="n">
        <x:v>26</x:v>
      </x:c>
      <x:c r="W43" t="n">
        <x:v>3</x:v>
      </x:c>
      <x:c r="X43" s="18" t="n">
        <x:v>40.333333333333336</x:v>
      </x:c>
      <x:c r="Y43" s="18" t="n">
        <x:v>136.33333333333334</x:v>
      </x:c>
      <x:c r="Z43" s="18" t="n">
        <x:v>4.333333333333333</x:v>
      </x:c>
      <x:c r="AA43" t="n">
        <x:v>0</x:v>
      </x:c>
    </x:row>
    <x:row r="44">
      <x:c r="A44" t="str">
        <x:v>A-7f8241</x:v>
      </x:c>
      <x:c r="B44" t="str">
        <x:v>Company_42</x:v>
      </x:c>
      <x:c r="C44" t="str">
        <x:v>EdTech</x:v>
      </x:c>
      <x:c r="D44" t="str">
        <x:v>US</x:v>
      </x:c>
      <x:c r="E44" s="14" t="n">
        <x:v>44999</x:v>
      </x:c>
      <x:c r="F44" t="str">
        <x:v>2023-03</x:v>
      </x:c>
      <x:c r="G44" t="str">
        <x:v>organic</x:v>
      </x:c>
      <x:c r="H44" t="str">
        <x:v>Pro</x:v>
      </x:c>
      <x:c r="I44" t="n">
        <x:v>34</x:v>
      </x:c>
      <x:c r="J44" s="1" t="b">
        <x:v>0</x:v>
      </x:c>
      <x:c r="K44" t="str">
        <x:v>Churned</x:v>
      </x:c>
      <x:c r="L44" t="n">
        <x:v>658</x:v>
      </x:c>
      <x:c r="M44" t="str"/>
      <x:c r="N44" t="n">
        <x:v>0</x:v>
      </x:c>
      <x:c r="O44" t="n">
        <x:v>15</x:v>
      </x:c>
      <x:c r="P44" s="16" t="n">
        <x:v>39516</x:v>
      </x:c>
      <x:c r="Q44" t="n">
        <x:v>2</x:v>
      </x:c>
      <x:c r="R44" t="n">
        <x:v>0</x:v>
      </x:c>
      <x:c r="S44" t="n">
        <x:v>734</x:v>
      </x:c>
      <x:c r="T44" s="18" t="n">
        <x:v>63.10722222222222</x:v>
      </x:c>
      <x:c r="U44" t="n">
        <x:v>38</x:v>
      </x:c>
      <x:c r="V44" t="n">
        <x:v>34</x:v>
      </x:c>
      <x:c r="W44" t="n">
        <x:v>1</x:v>
      </x:c>
      <x:c r="X44" s="18" t="n">
        <x:v>36</x:v>
      </x:c>
      <x:c r="Y44" s="18" t="n">
        <x:v>135</x:v>
      </x:c>
      <x:c r="Z44" s="18" t="n">
        <x:v>3</x:v>
      </x:c>
      <x:c r="AA44" t="n">
        <x:v>0</x:v>
      </x:c>
    </x:row>
    <x:row r="45">
      <x:c r="A45" t="str">
        <x:v>A-2bc93d</x:v>
      </x:c>
      <x:c r="B45" t="str">
        <x:v>Company_43</x:v>
      </x:c>
      <x:c r="C45" t="str">
        <x:v>HealthTech</x:v>
      </x:c>
      <x:c r="D45" t="str">
        <x:v>US</x:v>
      </x:c>
      <x:c r="E45" s="14" t="n">
        <x:v>44999</x:v>
      </x:c>
      <x:c r="F45" t="str">
        <x:v>2023-03</x:v>
      </x:c>
      <x:c r="G45" t="str">
        <x:v>event</x:v>
      </x:c>
      <x:c r="H45" t="str">
        <x:v>Basic</x:v>
      </x:c>
      <x:c r="I45" t="n">
        <x:v>14</x:v>
      </x:c>
      <x:c r="J45" s="1" t="b">
        <x:v>0</x:v>
      </x:c>
      <x:c r="K45" t="str">
        <x:v>Active</x:v>
      </x:c>
      <x:c r="L45" t="n">
        <x:v>658</x:v>
      </x:c>
      <x:c r="M45" t="str"/>
      <x:c r="N45" t="n">
        <x:v>2</x:v>
      </x:c>
      <x:c r="O45" t="n">
        <x:v>13</x:v>
      </x:c>
      <x:c r="P45" s="16" t="n">
        <x:v>32128</x:v>
      </x:c>
      <x:c r="Q45" t="n">
        <x:v>4</x:v>
      </x:c>
      <x:c r="R45" t="n">
        <x:v>0</x:v>
      </x:c>
      <x:c r="S45" t="n">
        <x:v>666</x:v>
      </x:c>
      <x:c r="T45" s="18" t="n">
        <x:v>59.92638888888889</x:v>
      </x:c>
      <x:c r="U45" t="n">
        <x:v>31</x:v>
      </x:c>
      <x:c r="V45" t="n">
        <x:v>33</x:v>
      </x:c>
      <x:c r="W45" t="n">
        <x:v>2</x:v>
      </x:c>
      <x:c r="X45" s="18" t="n">
        <x:v>12</x:v>
      </x:c>
      <x:c r="Y45" s="18" t="n">
        <x:v>78</x:v>
      </x:c>
      <x:c r="Z45" s="18" t="n">
        <x:v>4.5</x:v>
      </x:c>
      <x:c r="AA45" t="n">
        <x:v>0</x:v>
      </x:c>
    </x:row>
    <x:row r="46">
      <x:c r="A46" t="str">
        <x:v>A-f3ff05</x:v>
      </x:c>
      <x:c r="B46" t="str">
        <x:v>Company_44</x:v>
      </x:c>
      <x:c r="C46" t="str">
        <x:v>FinTech</x:v>
      </x:c>
      <x:c r="D46" t="str">
        <x:v>IN</x:v>
      </x:c>
      <x:c r="E46" s="14" t="n">
        <x:v>45479</x:v>
      </x:c>
      <x:c r="F46" t="str">
        <x:v>2024-07</x:v>
      </x:c>
      <x:c r="G46" t="str">
        <x:v>other</x:v>
      </x:c>
      <x:c r="H46" t="str">
        <x:v>Enterprise</x:v>
      </x:c>
      <x:c r="I46" t="n">
        <x:v>2</x:v>
      </x:c>
      <x:c r="J46" s="1" t="b">
        <x:v>0</x:v>
      </x:c>
      <x:c r="K46" t="str">
        <x:v>Active</x:v>
      </x:c>
      <x:c r="L46" t="n">
        <x:v>178</x:v>
      </x:c>
      <x:c r="M46" t="str"/>
      <x:c r="N46" t="n">
        <x:v>1</x:v>
      </x:c>
      <x:c r="O46" t="n">
        <x:v>13</x:v>
      </x:c>
      <x:c r="P46" s="16" t="n">
        <x:v>19427</x:v>
      </x:c>
      <x:c r="Q46" t="n">
        <x:v>1</x:v>
      </x:c>
      <x:c r="R46" t="n">
        <x:v>0</x:v>
      </x:c>
      <x:c r="S46" t="n">
        <x:v>672</x:v>
      </x:c>
      <x:c r="T46" s="18" t="n">
        <x:v>58.424166666666665</x:v>
      </x:c>
      <x:c r="U46" t="n">
        <x:v>36</x:v>
      </x:c>
      <x:c r="V46" t="n">
        <x:v>28</x:v>
      </x:c>
      <x:c r="W46" t="n">
        <x:v>3</x:v>
      </x:c>
      <x:c r="X46" s="18" t="n">
        <x:v>42.666666666666664</x:v>
      </x:c>
      <x:c r="Y46" s="18" t="n">
        <x:v>111.33333333333333</x:v>
      </x:c>
      <x:c r="Z46" s="18" t="n">
        <x:v>3.5</x:v>
      </x:c>
      <x:c r="AA46" t="n">
        <x:v>0</x:v>
      </x:c>
    </x:row>
    <x:row r="47">
      <x:c r="A47" t="str">
        <x:v>A-2d4502</x:v>
      </x:c>
      <x:c r="B47" t="str">
        <x:v>Company_45</x:v>
      </x:c>
      <x:c r="C47" t="str">
        <x:v>FinTech</x:v>
      </x:c>
      <x:c r="D47" t="str">
        <x:v>IN</x:v>
      </x:c>
      <x:c r="E47" s="14" t="n">
        <x:v>45411</x:v>
      </x:c>
      <x:c r="F47" t="str">
        <x:v>2024-04</x:v>
      </x:c>
      <x:c r="G47" t="str">
        <x:v>event</x:v>
      </x:c>
      <x:c r="H47" t="str">
        <x:v>Basic</x:v>
      </x:c>
      <x:c r="I47" t="n">
        <x:v>7</x:v>
      </x:c>
      <x:c r="J47" s="1" t="b">
        <x:v>0</x:v>
      </x:c>
      <x:c r="K47" t="str">
        <x:v>Active</x:v>
      </x:c>
      <x:c r="L47" t="n">
        <x:v>246</x:v>
      </x:c>
      <x:c r="M47" t="str"/>
      <x:c r="N47" t="n">
        <x:v>1</x:v>
      </x:c>
      <x:c r="O47" t="n">
        <x:v>10</x:v>
      </x:c>
      <x:c r="P47" s="16" t="n">
        <x:v>29071</x:v>
      </x:c>
      <x:c r="Q47" t="n">
        <x:v>2</x:v>
      </x:c>
      <x:c r="R47" t="n">
        <x:v>0</x:v>
      </x:c>
      <x:c r="S47" t="n">
        <x:v>465</x:v>
      </x:c>
      <x:c r="T47" s="18" t="n">
        <x:v>35.554722222222225</x:v>
      </x:c>
      <x:c r="U47" t="n">
        <x:v>19</x:v>
      </x:c>
      <x:c r="V47" t="n">
        <x:v>29</x:v>
      </x:c>
      <x:c r="W47" t="n">
        <x:v>3</x:v>
      </x:c>
      <x:c r="X47" s="18" t="n">
        <x:v>26.333333333333332</x:v>
      </x:c>
      <x:c r="Y47" s="18" t="n">
        <x:v>82</x:v>
      </x:c>
      <x:c r="Z47" s="18" t="n">
        <x:v>5</x:v>
      </x:c>
      <x:c r="AA47" t="n">
        <x:v>0</x:v>
      </x:c>
    </x:row>
    <x:row r="48">
      <x:c r="A48" t="str">
        <x:v>A-6a4e2d</x:v>
      </x:c>
      <x:c r="B48" t="str">
        <x:v>Company_46</x:v>
      </x:c>
      <x:c r="C48" t="str">
        <x:v>EdTech</x:v>
      </x:c>
      <x:c r="D48" t="str">
        <x:v>UK</x:v>
      </x:c>
      <x:c r="E48" s="14" t="n">
        <x:v>45023</x:v>
      </x:c>
      <x:c r="F48" t="str">
        <x:v>2023-04</x:v>
      </x:c>
      <x:c r="G48" t="str">
        <x:v>partner</x:v>
      </x:c>
      <x:c r="H48" t="str">
        <x:v>Pro</x:v>
      </x:c>
      <x:c r="I48" t="n">
        <x:v>9</x:v>
      </x:c>
      <x:c r="J48" s="1" t="b">
        <x:v>0</x:v>
      </x:c>
      <x:c r="K48" t="str">
        <x:v>Active</x:v>
      </x:c>
      <x:c r="L48" t="n">
        <x:v>634</x:v>
      </x:c>
      <x:c r="M48" t="str"/>
      <x:c r="N48" t="n">
        <x:v>1</x:v>
      </x:c>
      <x:c r="O48" t="n">
        <x:v>11</x:v>
      </x:c>
      <x:c r="P48" s="16" t="n">
        <x:v>9537</x:v>
      </x:c>
      <x:c r="Q48" t="n">
        <x:v>2</x:v>
      </x:c>
      <x:c r="R48" t="n">
        <x:v>1</x:v>
      </x:c>
      <x:c r="S48" t="n">
        <x:v>597</x:v>
      </x:c>
      <x:c r="T48" s="18" t="n">
        <x:v>47.99</x:v>
      </x:c>
      <x:c r="U48" t="n">
        <x:v>31</x:v>
      </x:c>
      <x:c r="V48" t="n">
        <x:v>27</x:v>
      </x:c>
      <x:c r="W48" t="n">
        <x:v>2</x:v>
      </x:c>
      <x:c r="X48" s="18" t="n">
        <x:v>18.5</x:v>
      </x:c>
      <x:c r="Y48" s="18" t="n">
        <x:v>141</x:v>
      </x:c>
      <x:c r="Z48" s="18" t="n">
        <x:v>4.5</x:v>
      </x:c>
      <x:c r="AA48" t="n">
        <x:v>1</x:v>
      </x:c>
    </x:row>
    <x:row r="49">
      <x:c r="A49" t="str">
        <x:v>A-eb7c38</x:v>
      </x:c>
      <x:c r="B49" t="str">
        <x:v>Company_47</x:v>
      </x:c>
      <x:c r="C49" t="str">
        <x:v>DevTools</x:v>
      </x:c>
      <x:c r="D49" t="str">
        <x:v>AU</x:v>
      </x:c>
      <x:c r="E49" s="14" t="n">
        <x:v>45347</x:v>
      </x:c>
      <x:c r="F49" t="str">
        <x:v>2024-02</x:v>
      </x:c>
      <x:c r="G49" t="str">
        <x:v>organic</x:v>
      </x:c>
      <x:c r="H49" t="str">
        <x:v>Enterprise</x:v>
      </x:c>
      <x:c r="I49" t="n">
        <x:v>5</x:v>
      </x:c>
      <x:c r="J49" s="1" t="b">
        <x:v>0</x:v>
      </x:c>
      <x:c r="K49" t="str">
        <x:v>Active</x:v>
      </x:c>
      <x:c r="L49" t="n">
        <x:v>310</x:v>
      </x:c>
      <x:c r="M49" t="str"/>
      <x:c r="N49" t="n">
        <x:v>1</x:v>
      </x:c>
      <x:c r="O49" t="n">
        <x:v>15</x:v>
      </x:c>
      <x:c r="P49" s="16" t="n">
        <x:v>17144</x:v>
      </x:c>
      <x:c r="Q49" t="n">
        <x:v>3</x:v>
      </x:c>
      <x:c r="R49" t="n">
        <x:v>1</x:v>
      </x:c>
      <x:c r="S49" t="n">
        <x:v>693</x:v>
      </x:c>
      <x:c r="T49" s="18" t="n">
        <x:v>56.651666666666664</x:v>
      </x:c>
      <x:c r="U49" t="n">
        <x:v>27</x:v>
      </x:c>
      <x:c r="V49" t="n">
        <x:v>33</x:v>
      </x:c>
      <x:c r="W49" t="n">
        <x:v>5</x:v>
      </x:c>
      <x:c r="X49" s="18" t="n">
        <x:v>22.4</x:v>
      </x:c>
      <x:c r="Y49" s="18" t="n">
        <x:v>67.4</x:v>
      </x:c>
      <x:c r="Z49" s="18" t="n">
        <x:v>4.333333333333333</x:v>
      </x:c>
      <x:c r="AA49" t="n">
        <x:v>0</x:v>
      </x:c>
    </x:row>
    <x:row r="50">
      <x:c r="A50" t="str">
        <x:v>A-c37601</x:v>
      </x:c>
      <x:c r="B50" t="str">
        <x:v>Company_48</x:v>
      </x:c>
      <x:c r="C50" t="str">
        <x:v>EdTech</x:v>
      </x:c>
      <x:c r="D50" t="str">
        <x:v>US</x:v>
      </x:c>
      <x:c r="E50" s="14" t="n">
        <x:v>45596</x:v>
      </x:c>
      <x:c r="F50" t="str">
        <x:v>2024-10</x:v>
      </x:c>
      <x:c r="G50" t="str">
        <x:v>partner</x:v>
      </x:c>
      <x:c r="H50" t="str">
        <x:v>Basic</x:v>
      </x:c>
      <x:c r="I50" t="n">
        <x:v>6</x:v>
      </x:c>
      <x:c r="J50" s="1" t="b">
        <x:v>1</x:v>
      </x:c>
      <x:c r="K50" t="str">
        <x:v>Active</x:v>
      </x:c>
      <x:c r="L50" t="n">
        <x:v>61</x:v>
      </x:c>
      <x:c r="M50" t="str"/>
      <x:c r="N50" t="n">
        <x:v>1</x:v>
      </x:c>
      <x:c r="O50" t="n">
        <x:v>12</x:v>
      </x:c>
      <x:c r="P50" s="16" t="n">
        <x:v>17490</x:v>
      </x:c>
      <x:c r="Q50" t="n">
        <x:v>0</x:v>
      </x:c>
      <x:c r="R50" t="n">
        <x:v>0</x:v>
      </x:c>
      <x:c r="S50" t="n">
        <x:v>489</x:v>
      </x:c>
      <x:c r="T50" s="18" t="n">
        <x:v>36.62083333333333</x:v>
      </x:c>
      <x:c r="U50" t="n">
        <x:v>21</x:v>
      </x:c>
      <x:c r="V50" t="n">
        <x:v>28</x:v>
      </x:c>
      <x:c r="W50" t="n">
        <x:v>4</x:v>
      </x:c>
      <x:c r="X50" s="18" t="n">
        <x:v>42.25</x:v>
      </x:c>
      <x:c r="Y50" s="18" t="n">
        <x:v>83</x:v>
      </x:c>
      <x:c r="Z50" s="18" t="n">
        <x:v>3.6666666666666665</x:v>
      </x:c>
      <x:c r="AA50" t="n">
        <x:v>0</x:v>
      </x:c>
    </x:row>
    <x:row r="51">
      <x:c r="A51" t="str">
        <x:v>A-3b5cd1</x:v>
      </x:c>
      <x:c r="B51" t="str">
        <x:v>Company_49</x:v>
      </x:c>
      <x:c r="C51" t="str">
        <x:v>FinTech</x:v>
      </x:c>
      <x:c r="D51" t="str">
        <x:v>US</x:v>
      </x:c>
      <x:c r="E51" s="14" t="n">
        <x:v>45181</x:v>
      </x:c>
      <x:c r="F51" t="str">
        <x:v>2023-09</x:v>
      </x:c>
      <x:c r="G51" t="str">
        <x:v>event</x:v>
      </x:c>
      <x:c r="H51" t="str">
        <x:v>Basic</x:v>
      </x:c>
      <x:c r="I51" t="n">
        <x:v>13</x:v>
      </x:c>
      <x:c r="J51" s="1" t="b">
        <x:v>1</x:v>
      </x:c>
      <x:c r="K51" t="str">
        <x:v>Active</x:v>
      </x:c>
      <x:c r="L51" t="n">
        <x:v>476</x:v>
      </x:c>
      <x:c r="M51" t="str"/>
      <x:c r="N51" t="n">
        <x:v>3</x:v>
      </x:c>
      <x:c r="O51" t="n">
        <x:v>13</x:v>
      </x:c>
      <x:c r="P51" s="16" t="n">
        <x:v>23676</x:v>
      </x:c>
      <x:c r="Q51" t="n">
        <x:v>2</x:v>
      </x:c>
      <x:c r="R51" t="n">
        <x:v>1</x:v>
      </x:c>
      <x:c r="S51" t="n">
        <x:v>523</x:v>
      </x:c>
      <x:c r="T51" s="18" t="n">
        <x:v>49.43277777777778</x:v>
      </x:c>
      <x:c r="U51" t="n">
        <x:v>24</x:v>
      </x:c>
      <x:c r="V51" t="n">
        <x:v>27</x:v>
      </x:c>
      <x:c r="W51" t="n">
        <x:v>5</x:v>
      </x:c>
      <x:c r="X51" s="18" t="n">
        <x:v>27.4</x:v>
      </x:c>
      <x:c r="Y51" s="18" t="n">
        <x:v>46.6</x:v>
      </x:c>
      <x:c r="Z51" s="18" t="n">
        <x:v>4</x:v>
      </x:c>
      <x:c r="AA51" t="n">
        <x:v>0</x:v>
      </x:c>
    </x:row>
    <x:row r="52">
      <x:c r="A52" t="str">
        <x:v>A-b2225d</x:v>
      </x:c>
      <x:c r="B52" t="str">
        <x:v>Company_50</x:v>
      </x:c>
      <x:c r="C52" t="str">
        <x:v>FinTech</x:v>
      </x:c>
      <x:c r="D52" t="str">
        <x:v>US</x:v>
      </x:c>
      <x:c r="E52" s="14" t="n">
        <x:v>45359</x:v>
      </x:c>
      <x:c r="F52" t="str">
        <x:v>2024-03</x:v>
      </x:c>
      <x:c r="G52" t="str">
        <x:v>ads</x:v>
      </x:c>
      <x:c r="H52" t="str">
        <x:v>Basic</x:v>
      </x:c>
      <x:c r="I52" t="n">
        <x:v>47</x:v>
      </x:c>
      <x:c r="J52" s="1" t="b">
        <x:v>0</x:v>
      </x:c>
      <x:c r="K52" t="str">
        <x:v>Churned</x:v>
      </x:c>
      <x:c r="L52" t="n">
        <x:v>111</x:v>
      </x:c>
      <x:c r="M52" t="str">
        <x:v>budget</x:v>
      </x:c>
      <x:c r="N52" t="n">
        <x:v>3</x:v>
      </x:c>
      <x:c r="O52" t="n">
        <x:v>12</x:v>
      </x:c>
      <x:c r="P52" s="16" t="n">
        <x:v>19088</x:v>
      </x:c>
      <x:c r="Q52" t="n">
        <x:v>1</x:v>
      </x:c>
      <x:c r="R52" t="n">
        <x:v>1</x:v>
      </x:c>
      <x:c r="S52" t="n">
        <x:v>696</x:v>
      </x:c>
      <x:c r="T52" s="18" t="n">
        <x:v>65.74805555555555</x:v>
      </x:c>
      <x:c r="U52" t="n">
        <x:v>60</x:v>
      </x:c>
      <x:c r="V52" t="n">
        <x:v>34</x:v>
      </x:c>
      <x:c r="W52" t="n">
        <x:v>2</x:v>
      </x:c>
      <x:c r="X52" s="18" t="n">
        <x:v>42</x:v>
      </x:c>
      <x:c r="Y52" s="18" t="n">
        <x:v>38</x:v>
      </x:c>
      <x:c r="Z52" s="18" t="n">
        <x:v>3</x:v>
      </x:c>
      <x:c r="AA52" t="n">
        <x:v>0</x:v>
      </x:c>
    </x:row>
    <x:row r="53">
      <x:c r="A53" t="str">
        <x:v>A-94f8c9</x:v>
      </x:c>
      <x:c r="B53" t="str">
        <x:v>Company_51</x:v>
      </x:c>
      <x:c r="C53" t="str">
        <x:v>HealthTech</x:v>
      </x:c>
      <x:c r="D53" t="str">
        <x:v>US</x:v>
      </x:c>
      <x:c r="E53" s="14" t="n">
        <x:v>45380</x:v>
      </x:c>
      <x:c r="F53" t="str">
        <x:v>2024-03</x:v>
      </x:c>
      <x:c r="G53" t="str">
        <x:v>other</x:v>
      </x:c>
      <x:c r="H53" t="str">
        <x:v>Basic</x:v>
      </x:c>
      <x:c r="I53" t="n">
        <x:v>13</x:v>
      </x:c>
      <x:c r="J53" s="1" t="b">
        <x:v>0</x:v>
      </x:c>
      <x:c r="K53" t="str">
        <x:v>Active</x:v>
      </x:c>
      <x:c r="L53" t="n">
        <x:v>277</x:v>
      </x:c>
      <x:c r="M53" t="str"/>
      <x:c r="N53" t="n">
        <x:v>1</x:v>
      </x:c>
      <x:c r="O53" t="n">
        <x:v>16</x:v>
      </x:c>
      <x:c r="P53" s="16" t="n">
        <x:v>31989</x:v>
      </x:c>
      <x:c r="Q53" t="n">
        <x:v>2</x:v>
      </x:c>
      <x:c r="R53" t="n">
        <x:v>1</x:v>
      </x:c>
      <x:c r="S53" t="n">
        <x:v>746</x:v>
      </x:c>
      <x:c r="T53" s="18" t="n">
        <x:v>56.70111111111111</x:v>
      </x:c>
      <x:c r="U53" t="n">
        <x:v>63</x:v>
      </x:c>
      <x:c r="V53" t="n">
        <x:v>33</x:v>
      </x:c>
      <x:c r="W53" t="n">
        <x:v>3</x:v>
      </x:c>
      <x:c r="X53" s="18" t="n">
        <x:v>47.333333333333336</x:v>
      </x:c>
      <x:c r="Y53" s="18" t="n">
        <x:v>87.66666666666667</x:v>
      </x:c>
      <x:c r="Z53" s="18" t="n">
        <x:v>5</x:v>
      </x:c>
      <x:c r="AA53" t="n">
        <x:v>0</x:v>
      </x:c>
    </x:row>
    <x:row r="54">
      <x:c r="A54" t="str">
        <x:v>A-02fac6</x:v>
      </x:c>
      <x:c r="B54" t="str">
        <x:v>Company_52</x:v>
      </x:c>
      <x:c r="C54" t="str">
        <x:v>FinTech</x:v>
      </x:c>
      <x:c r="D54" t="str">
        <x:v>US</x:v>
      </x:c>
      <x:c r="E54" s="14" t="n">
        <x:v>45022</x:v>
      </x:c>
      <x:c r="F54" t="str">
        <x:v>2023-04</x:v>
      </x:c>
      <x:c r="G54" t="str">
        <x:v>event</x:v>
      </x:c>
      <x:c r="H54" t="str">
        <x:v>Pro</x:v>
      </x:c>
      <x:c r="I54" t="n">
        <x:v>22</x:v>
      </x:c>
      <x:c r="J54" s="1" t="b">
        <x:v>0</x:v>
      </x:c>
      <x:c r="K54" t="str">
        <x:v>Active</x:v>
      </x:c>
      <x:c r="L54" t="n">
        <x:v>635</x:v>
      </x:c>
      <x:c r="M54" t="str"/>
      <x:c r="N54" t="n">
        <x:v>1</x:v>
      </x:c>
      <x:c r="O54" t="n">
        <x:v>11</x:v>
      </x:c>
      <x:c r="P54" s="16" t="n">
        <x:v>26410</x:v>
      </x:c>
      <x:c r="Q54" t="n">
        <x:v>1</x:v>
      </x:c>
      <x:c r="R54" t="n">
        <x:v>0</x:v>
      </x:c>
      <x:c r="S54" t="n">
        <x:v>514</x:v>
      </x:c>
      <x:c r="T54" s="18" t="n">
        <x:v>47.181666666666665</x:v>
      </x:c>
      <x:c r="U54" t="n">
        <x:v>34</x:v>
      </x:c>
      <x:c r="V54" t="n">
        <x:v>32</x:v>
      </x:c>
      <x:c r="W54" t="n">
        <x:v>6</x:v>
      </x:c>
      <x:c r="X54" s="18" t="n">
        <x:v>23.333333333333332</x:v>
      </x:c>
      <x:c r="Y54" s="18" t="n">
        <x:v>100.5</x:v>
      </x:c>
      <x:c r="Z54" s="18" t="n">
        <x:v>4</x:v>
      </x:c>
      <x:c r="AA54" t="n">
        <x:v>0</x:v>
      </x:c>
    </x:row>
    <x:row r="55">
      <x:c r="A55" t="str">
        <x:v>A-c1dfe1</x:v>
      </x:c>
      <x:c r="B55" t="str">
        <x:v>Company_53</x:v>
      </x:c>
      <x:c r="C55" t="str">
        <x:v>DevTools</x:v>
      </x:c>
      <x:c r="D55" t="str">
        <x:v>DE</x:v>
      </x:c>
      <x:c r="E55" s="14" t="n">
        <x:v>45145</x:v>
      </x:c>
      <x:c r="F55" t="str">
        <x:v>2023-08</x:v>
      </x:c>
      <x:c r="G55" t="str">
        <x:v>ads</x:v>
      </x:c>
      <x:c r="H55" t="str">
        <x:v>Pro</x:v>
      </x:c>
      <x:c r="I55" t="n">
        <x:v>26</x:v>
      </x:c>
      <x:c r="J55" s="1" t="b">
        <x:v>0</x:v>
      </x:c>
      <x:c r="K55" t="str">
        <x:v>Active</x:v>
      </x:c>
      <x:c r="L55" t="n">
        <x:v>512</x:v>
      </x:c>
      <x:c r="M55" t="str"/>
      <x:c r="N55" t="n">
        <x:v>2</x:v>
      </x:c>
      <x:c r="O55" t="n">
        <x:v>8</x:v>
      </x:c>
      <x:c r="P55" s="16" t="n">
        <x:v>25296</x:v>
      </x:c>
      <x:c r="Q55" t="n">
        <x:v>1</x:v>
      </x:c>
      <x:c r="R55" t="n">
        <x:v>2</x:v>
      </x:c>
      <x:c r="S55" t="n">
        <x:v>375</x:v>
      </x:c>
      <x:c r="T55" s="18" t="n">
        <x:v>35.46861111111111</x:v>
      </x:c>
      <x:c r="U55" t="n">
        <x:v>30</x:v>
      </x:c>
      <x:c r="V55" t="n">
        <x:v>24</x:v>
      </x:c>
      <x:c r="W55" t="n">
        <x:v>3</x:v>
      </x:c>
      <x:c r="X55" s="18" t="n">
        <x:v>50.333333333333336</x:v>
      </x:c>
      <x:c r="Y55" s="18" t="n">
        <x:v>93.66666666666667</x:v>
      </x:c>
      <x:c r="Z55" s="18" t="n">
        <x:v>4</x:v>
      </x:c>
      <x:c r="AA55" t="n">
        <x:v>0</x:v>
      </x:c>
    </x:row>
    <x:row r="56">
      <x:c r="A56" t="str">
        <x:v>A-32728c</x:v>
      </x:c>
      <x:c r="B56" t="str">
        <x:v>Company_54</x:v>
      </x:c>
      <x:c r="C56" t="str">
        <x:v>DevTools</x:v>
      </x:c>
      <x:c r="D56" t="str">
        <x:v>US</x:v>
      </x:c>
      <x:c r="E56" s="14" t="n">
        <x:v>44929</x:v>
      </x:c>
      <x:c r="F56" t="str">
        <x:v>2023-01</x:v>
      </x:c>
      <x:c r="G56" t="str">
        <x:v>event</x:v>
      </x:c>
      <x:c r="H56" t="str">
        <x:v>Pro</x:v>
      </x:c>
      <x:c r="I56" t="n">
        <x:v>20</x:v>
      </x:c>
      <x:c r="J56" s="1" t="b">
        <x:v>0</x:v>
      </x:c>
      <x:c r="K56" t="str">
        <x:v>Churned</x:v>
      </x:c>
      <x:c r="L56" t="n">
        <x:v>563</x:v>
      </x:c>
      <x:c r="M56" t="str">
        <x:v>budget</x:v>
      </x:c>
      <x:c r="N56" t="n">
        <x:v>3</x:v>
      </x:c>
      <x:c r="O56" t="n">
        <x:v>8</x:v>
      </x:c>
      <x:c r="P56" s="16" t="n">
        <x:v>4118</x:v>
      </x:c>
      <x:c r="Q56" t="n">
        <x:v>1</x:v>
      </x:c>
      <x:c r="R56" t="n">
        <x:v>0</x:v>
      </x:c>
      <x:c r="S56" t="n">
        <x:v>418</x:v>
      </x:c>
      <x:c r="T56" s="18" t="n">
        <x:v>32.03472222222222</x:v>
      </x:c>
      <x:c r="U56" t="n">
        <x:v>22</x:v>
      </x:c>
      <x:c r="V56" t="n">
        <x:v>26</x:v>
      </x:c>
      <x:c r="W56" t="n">
        <x:v>2</x:v>
      </x:c>
      <x:c r="X56" s="18" t="n">
        <x:v>34.5</x:v>
      </x:c>
      <x:c r="Y56" s="18" t="n">
        <x:v>61.5</x:v>
      </x:c>
      <x:c r="Z56" s="18" t="n">
        <x:v>3.5</x:v>
      </x:c>
      <x:c r="AA56" t="n">
        <x:v>0</x:v>
      </x:c>
    </x:row>
    <x:row r="57">
      <x:c r="A57" t="str">
        <x:v>A-4c38bc</x:v>
      </x:c>
      <x:c r="B57" t="str">
        <x:v>Company_55</x:v>
      </x:c>
      <x:c r="C57" t="str">
        <x:v>HealthTech</x:v>
      </x:c>
      <x:c r="D57" t="str">
        <x:v>UK</x:v>
      </x:c>
      <x:c r="E57" s="14" t="n">
        <x:v>45360</x:v>
      </x:c>
      <x:c r="F57" t="str">
        <x:v>2024-03</x:v>
      </x:c>
      <x:c r="G57" t="str">
        <x:v>event</x:v>
      </x:c>
      <x:c r="H57" t="str">
        <x:v>Basic</x:v>
      </x:c>
      <x:c r="I57" t="n">
        <x:v>36</x:v>
      </x:c>
      <x:c r="J57" s="1" t="b">
        <x:v>0</x:v>
      </x:c>
      <x:c r="K57" t="str">
        <x:v>Churned</x:v>
      </x:c>
      <x:c r="L57" t="n">
        <x:v>297</x:v>
      </x:c>
      <x:c r="M57" t="str"/>
      <x:c r="N57" t="n">
        <x:v>0</x:v>
      </x:c>
      <x:c r="O57" t="n">
        <x:v>16</x:v>
      </x:c>
      <x:c r="P57" s="16" t="n">
        <x:v>45612</x:v>
      </x:c>
      <x:c r="Q57" t="n">
        <x:v>2</x:v>
      </x:c>
      <x:c r="R57" t="n">
        <x:v>0</x:v>
      </x:c>
      <x:c r="S57" t="n">
        <x:v>818</x:v>
      </x:c>
      <x:c r="T57" s="18" t="n">
        <x:v>75.37722222222222</x:v>
      </x:c>
      <x:c r="U57" t="n">
        <x:v>27</x:v>
      </x:c>
      <x:c r="V57" t="n">
        <x:v>37</x:v>
      </x:c>
      <x:c r="W57" t="n">
        <x:v>3</x:v>
      </x:c>
      <x:c r="X57" s="18" t="n">
        <x:v>48.333333333333336</x:v>
      </x:c>
      <x:c r="Y57" s="18" t="n">
        <x:v>43</x:v>
      </x:c>
      <x:c r="Z57" s="18" t="n">
        <x:v>3.5</x:v>
      </x:c>
      <x:c r="AA57" t="n">
        <x:v>0</x:v>
      </x:c>
    </x:row>
    <x:row r="58">
      <x:c r="A58" t="str">
        <x:v>A-1b707d</x:v>
      </x:c>
      <x:c r="B58" t="str">
        <x:v>Company_56</x:v>
      </x:c>
      <x:c r="C58" t="str">
        <x:v>Cybersecurity</x:v>
      </x:c>
      <x:c r="D58" t="str">
        <x:v>US</x:v>
      </x:c>
      <x:c r="E58" s="14" t="n">
        <x:v>45121</x:v>
      </x:c>
      <x:c r="F58" t="str">
        <x:v>2023-07</x:v>
      </x:c>
      <x:c r="G58" t="str">
        <x:v>organic</x:v>
      </x:c>
      <x:c r="H58" t="str">
        <x:v>Enterprise</x:v>
      </x:c>
      <x:c r="I58" t="n">
        <x:v>1</x:v>
      </x:c>
      <x:c r="J58" s="1" t="b">
        <x:v>0</x:v>
      </x:c>
      <x:c r="K58" t="str">
        <x:v>Active</x:v>
      </x:c>
      <x:c r="L58" t="n">
        <x:v>536</x:v>
      </x:c>
      <x:c r="M58" t="str"/>
      <x:c r="N58" t="n">
        <x:v>1</x:v>
      </x:c>
      <x:c r="O58" t="n">
        <x:v>8</x:v>
      </x:c>
      <x:c r="P58" s="16" t="n">
        <x:v>9180</x:v>
      </x:c>
      <x:c r="Q58" t="n">
        <x:v>1</x:v>
      </x:c>
      <x:c r="R58" t="n">
        <x:v>0</x:v>
      </x:c>
      <x:c r="S58" t="n">
        <x:v>399</x:v>
      </x:c>
      <x:c r="T58" s="18" t="n">
        <x:v>30.682222222222222</x:v>
      </x:c>
      <x:c r="U58" t="n">
        <x:v>12</x:v>
      </x:c>
      <x:c r="V58" t="n">
        <x:v>27</x:v>
      </x:c>
      <x:c r="W58" t="n">
        <x:v>3</x:v>
      </x:c>
      <x:c r="X58" s="18" t="n">
        <x:v>42.666666666666664</x:v>
      </x:c>
      <x:c r="Y58" s="18" t="n">
        <x:v>75.33333333333333</x:v>
      </x:c>
      <x:c r="Z58" s="18"/>
      <x:c r="AA58" t="n">
        <x:v>0</x:v>
      </x:c>
    </x:row>
    <x:row r="59">
      <x:c r="A59" t="str">
        <x:v>A-6f8ad2</x:v>
      </x:c>
      <x:c r="B59" t="str">
        <x:v>Company_57</x:v>
      </x:c>
      <x:c r="C59" t="str">
        <x:v>EdTech</x:v>
      </x:c>
      <x:c r="D59" t="str">
        <x:v>IN</x:v>
      </x:c>
      <x:c r="E59" s="14" t="n">
        <x:v>45482</x:v>
      </x:c>
      <x:c r="F59" t="str">
        <x:v>2024-07</x:v>
      </x:c>
      <x:c r="G59" t="str">
        <x:v>organic</x:v>
      </x:c>
      <x:c r="H59" t="str">
        <x:v>Basic</x:v>
      </x:c>
      <x:c r="I59" t="n">
        <x:v>1</x:v>
      </x:c>
      <x:c r="J59" s="1" t="b">
        <x:v>0</x:v>
      </x:c>
      <x:c r="K59" t="str">
        <x:v>Active</x:v>
      </x:c>
      <x:c r="L59" t="n">
        <x:v>175</x:v>
      </x:c>
      <x:c r="M59" t="str"/>
      <x:c r="N59" t="n">
        <x:v>0</x:v>
      </x:c>
      <x:c r="O59" t="n">
        <x:v>17</x:v>
      </x:c>
      <x:c r="P59" s="16" t="n">
        <x:v>25046</x:v>
      </x:c>
      <x:c r="Q59" t="n">
        <x:v>2</x:v>
      </x:c>
      <x:c r="R59" t="n">
        <x:v>1</x:v>
      </x:c>
      <x:c r="S59" t="n">
        <x:v>924</x:v>
      </x:c>
      <x:c r="T59" s="18" t="n">
        <x:v>72.63583333333334</x:v>
      </x:c>
      <x:c r="U59" t="n">
        <x:v>59</x:v>
      </x:c>
      <x:c r="V59" t="n">
        <x:v>38</x:v>
      </x:c>
      <x:c r="W59" t="n">
        <x:v>4</x:v>
      </x:c>
      <x:c r="X59" s="18" t="n">
        <x:v>35.25</x:v>
      </x:c>
      <x:c r="Y59" s="18" t="n">
        <x:v>37.25</x:v>
      </x:c>
      <x:c r="Z59" s="18" t="n">
        <x:v>4.333333333333333</x:v>
      </x:c>
      <x:c r="AA59" t="n">
        <x:v>0</x:v>
      </x:c>
    </x:row>
    <x:row r="60">
      <x:c r="A60" t="str">
        <x:v>A-4d1e75</x:v>
      </x:c>
      <x:c r="B60" t="str">
        <x:v>Company_58</x:v>
      </x:c>
      <x:c r="C60" t="str">
        <x:v>DevTools</x:v>
      </x:c>
      <x:c r="D60" t="str">
        <x:v>US</x:v>
      </x:c>
      <x:c r="E60" s="14" t="n">
        <x:v>45525</x:v>
      </x:c>
      <x:c r="F60" t="str">
        <x:v>2024-08</x:v>
      </x:c>
      <x:c r="G60" t="str">
        <x:v>other</x:v>
      </x:c>
      <x:c r="H60" t="str">
        <x:v>Basic</x:v>
      </x:c>
      <x:c r="I60" t="n">
        <x:v>20</x:v>
      </x:c>
      <x:c r="J60" s="1" t="b">
        <x:v>0</x:v>
      </x:c>
      <x:c r="K60" t="str">
        <x:v>Active</x:v>
      </x:c>
      <x:c r="L60" t="n">
        <x:v>132</x:v>
      </x:c>
      <x:c r="M60" t="str"/>
      <x:c r="N60" t="n">
        <x:v>1</x:v>
      </x:c>
      <x:c r="O60" t="n">
        <x:v>13</x:v>
      </x:c>
      <x:c r="P60" s="16" t="n">
        <x:v>31390</x:v>
      </x:c>
      <x:c r="Q60" t="n">
        <x:v>3</x:v>
      </x:c>
      <x:c r="R60" t="n">
        <x:v>1</x:v>
      </x:c>
      <x:c r="S60" t="n">
        <x:v>477</x:v>
      </x:c>
      <x:c r="T60" s="18" t="n">
        <x:v>41.14055555555556</x:v>
      </x:c>
      <x:c r="U60" t="n">
        <x:v>25</x:v>
      </x:c>
      <x:c r="V60" t="n">
        <x:v>28</x:v>
      </x:c>
      <x:c r="W60" t="n">
        <x:v>2</x:v>
      </x:c>
      <x:c r="X60" s="18" t="n">
        <x:v>15</x:v>
      </x:c>
      <x:c r="Y60" s="18" t="n">
        <x:v>98.5</x:v>
      </x:c>
      <x:c r="Z60" s="18" t="n">
        <x:v>4</x:v>
      </x:c>
      <x:c r="AA60" t="n">
        <x:v>0</x:v>
      </x:c>
    </x:row>
    <x:row r="61">
      <x:c r="A61" t="str">
        <x:v>A-9ee962</x:v>
      </x:c>
      <x:c r="B61" t="str">
        <x:v>Company_59</x:v>
      </x:c>
      <x:c r="C61" t="str">
        <x:v>HealthTech</x:v>
      </x:c>
      <x:c r="D61" t="str">
        <x:v>US</x:v>
      </x:c>
      <x:c r="E61" s="14" t="n">
        <x:v>44985</x:v>
      </x:c>
      <x:c r="F61" t="str">
        <x:v>2023-02</x:v>
      </x:c>
      <x:c r="G61" t="str">
        <x:v>ads</x:v>
      </x:c>
      <x:c r="H61" t="str">
        <x:v>Basic</x:v>
      </x:c>
      <x:c r="I61" t="n">
        <x:v>9</x:v>
      </x:c>
      <x:c r="J61" s="1" t="b">
        <x:v>0</x:v>
      </x:c>
      <x:c r="K61" t="str">
        <x:v>Churned</x:v>
      </x:c>
      <x:c r="L61" t="n">
        <x:v>583</x:v>
      </x:c>
      <x:c r="M61" t="str">
        <x:v>support</x:v>
      </x:c>
      <x:c r="N61" t="n">
        <x:v>1</x:v>
      </x:c>
      <x:c r="O61" t="n">
        <x:v>9</x:v>
      </x:c>
      <x:c r="P61" s="16" t="n">
        <x:v>9249</x:v>
      </x:c>
      <x:c r="Q61" t="n">
        <x:v>3</x:v>
      </x:c>
      <x:c r="R61" t="n">
        <x:v>1</x:v>
      </x:c>
      <x:c r="S61" t="n">
        <x:v>439</x:v>
      </x:c>
      <x:c r="T61" s="18" t="n">
        <x:v>33.39611111111111</x:v>
      </x:c>
      <x:c r="U61" t="n">
        <x:v>17</x:v>
      </x:c>
      <x:c r="V61" t="n">
        <x:v>25</x:v>
      </x:c>
      <x:c r="W61" t="n">
        <x:v>3</x:v>
      </x:c>
      <x:c r="X61" s="18" t="n">
        <x:v>37</x:v>
      </x:c>
      <x:c r="Y61" s="18" t="n">
        <x:v>69.66666666666667</x:v>
      </x:c>
      <x:c r="Z61" s="18" t="n">
        <x:v>4</x:v>
      </x:c>
      <x:c r="AA61" t="n">
        <x:v>0</x:v>
      </x:c>
    </x:row>
    <x:row r="62">
      <x:c r="A62" t="str">
        <x:v>A-378b99</x:v>
      </x:c>
      <x:c r="B62" t="str">
        <x:v>Company_60</x:v>
      </x:c>
      <x:c r="C62" t="str">
        <x:v>EdTech</x:v>
      </x:c>
      <x:c r="D62" t="str">
        <x:v>UK</x:v>
      </x:c>
      <x:c r="E62" s="14" t="n">
        <x:v>45536</x:v>
      </x:c>
      <x:c r="F62" t="str">
        <x:v>2024-09</x:v>
      </x:c>
      <x:c r="G62" t="str">
        <x:v>ads</x:v>
      </x:c>
      <x:c r="H62" t="str">
        <x:v>Pro</x:v>
      </x:c>
      <x:c r="I62" t="n">
        <x:v>8</x:v>
      </x:c>
      <x:c r="J62" s="1" t="b">
        <x:v>1</x:v>
      </x:c>
      <x:c r="K62" t="str">
        <x:v>Active</x:v>
      </x:c>
      <x:c r="L62" t="n">
        <x:v>121</x:v>
      </x:c>
      <x:c r="M62" t="str"/>
      <x:c r="N62" t="n">
        <x:v>1</x:v>
      </x:c>
      <x:c r="O62" t="n">
        <x:v>12</x:v>
      </x:c>
      <x:c r="P62" s="16" t="n">
        <x:v>10524</x:v>
      </x:c>
      <x:c r="Q62" t="n">
        <x:v>1</x:v>
      </x:c>
      <x:c r="R62" t="n">
        <x:v>1</x:v>
      </x:c>
      <x:c r="S62" t="n">
        <x:v>565</x:v>
      </x:c>
      <x:c r="T62" s="18" t="n">
        <x:v>52.09027777777778</x:v>
      </x:c>
      <x:c r="U62" t="n">
        <x:v>38</x:v>
      </x:c>
      <x:c r="V62" t="n">
        <x:v>33</x:v>
      </x:c>
      <x:c r="W62" t="n">
        <x:v>6</x:v>
      </x:c>
      <x:c r="X62" s="18" t="n">
        <x:v>28.5</x:v>
      </x:c>
      <x:c r="Y62" s="18" t="n">
        <x:v>78.83333333333333</x:v>
      </x:c>
      <x:c r="Z62" s="18" t="n">
        <x:v>4.5</x:v>
      </x:c>
      <x:c r="AA62" t="n">
        <x:v>0</x:v>
      </x:c>
    </x:row>
    <x:row r="63">
      <x:c r="A63" t="str">
        <x:v>A-94d3da</x:v>
      </x:c>
      <x:c r="B63" t="str">
        <x:v>Company_61</x:v>
      </x:c>
      <x:c r="C63" t="str">
        <x:v>HealthTech</x:v>
      </x:c>
      <x:c r="D63" t="str">
        <x:v>US</x:v>
      </x:c>
      <x:c r="E63" s="14" t="n">
        <x:v>45049</x:v>
      </x:c>
      <x:c r="F63" t="str">
        <x:v>2023-05</x:v>
      </x:c>
      <x:c r="G63" t="str">
        <x:v>other</x:v>
      </x:c>
      <x:c r="H63" t="str">
        <x:v>Basic</x:v>
      </x:c>
      <x:c r="I63" t="n">
        <x:v>41</x:v>
      </x:c>
      <x:c r="J63" s="1" t="b">
        <x:v>0</x:v>
      </x:c>
      <x:c r="K63" t="str">
        <x:v>Active</x:v>
      </x:c>
      <x:c r="L63" t="n">
        <x:v>608</x:v>
      </x:c>
      <x:c r="M63" t="str"/>
      <x:c r="N63" t="n">
        <x:v>1</x:v>
      </x:c>
      <x:c r="O63" t="n">
        <x:v>12</x:v>
      </x:c>
      <x:c r="P63" s="16" t="n">
        <x:v>20664</x:v>
      </x:c>
      <x:c r="Q63" t="n">
        <x:v>1</x:v>
      </x:c>
      <x:c r="R63" t="n">
        <x:v>0</x:v>
      </x:c>
      <x:c r="S63" t="n">
        <x:v>464</x:v>
      </x:c>
      <x:c r="T63" s="18" t="n">
        <x:v>41.68083333333333</x:v>
      </x:c>
      <x:c r="U63" t="n">
        <x:v>25</x:v>
      </x:c>
      <x:c r="V63" t="n">
        <x:v>29</x:v>
      </x:c>
      <x:c r="W63" t="n">
        <x:v>6</x:v>
      </x:c>
      <x:c r="X63" s="18" t="n">
        <x:v>26.833333333333332</x:v>
      </x:c>
      <x:c r="Y63" s="18" t="n">
        <x:v>80.5</x:v>
      </x:c>
      <x:c r="Z63" s="18" t="n">
        <x:v>3.5</x:v>
      </x:c>
      <x:c r="AA63" t="n">
        <x:v>0</x:v>
      </x:c>
    </x:row>
    <x:row r="64">
      <x:c r="A64" t="str">
        <x:v>A-e351e1</x:v>
      </x:c>
      <x:c r="B64" t="str">
        <x:v>Company_62</x:v>
      </x:c>
      <x:c r="C64" t="str">
        <x:v>EdTech</x:v>
      </x:c>
      <x:c r="D64" t="str">
        <x:v>US</x:v>
      </x:c>
      <x:c r="E64" s="14" t="n">
        <x:v>45561</x:v>
      </x:c>
      <x:c r="F64" t="str">
        <x:v>2024-09</x:v>
      </x:c>
      <x:c r="G64" t="str">
        <x:v>other</x:v>
      </x:c>
      <x:c r="H64" t="str">
        <x:v>Enterprise</x:v>
      </x:c>
      <x:c r="I64" t="n">
        <x:v>33</x:v>
      </x:c>
      <x:c r="J64" s="1" t="b">
        <x:v>0</x:v>
      </x:c>
      <x:c r="K64" t="str">
        <x:v>Active</x:v>
      </x:c>
      <x:c r="L64" t="n">
        <x:v>96</x:v>
      </x:c>
      <x:c r="M64" t="str"/>
      <x:c r="N64" t="n">
        <x:v>3</x:v>
      </x:c>
      <x:c r="O64" t="n">
        <x:v>5</x:v>
      </x:c>
      <x:c r="P64" s="16" t="n">
        <x:v>2871</x:v>
      </x:c>
      <x:c r="Q64" t="n">
        <x:v>0</x:v>
      </x:c>
      <x:c r="R64" t="n">
        <x:v>0</x:v>
      </x:c>
      <x:c r="S64" t="n">
        <x:v>295</x:v>
      </x:c>
      <x:c r="T64" s="18" t="n">
        <x:v>28.45888888888889</x:v>
      </x:c>
      <x:c r="U64" t="n">
        <x:v>22</x:v>
      </x:c>
      <x:c r="V64" t="n">
        <x:v>18</x:v>
      </x:c>
      <x:c r="W64" t="n">
        <x:v>4</x:v>
      </x:c>
      <x:c r="X64" s="18" t="n">
        <x:v>17</x:v>
      </x:c>
      <x:c r="Y64" s="18" t="n">
        <x:v>65.25</x:v>
      </x:c>
      <x:c r="Z64" s="18" t="n">
        <x:v>3.75</x:v>
      </x:c>
      <x:c r="AA64" t="n">
        <x:v>0</x:v>
      </x:c>
    </x:row>
    <x:row r="65">
      <x:c r="A65" t="str">
        <x:v>A-9badbd</x:v>
      </x:c>
      <x:c r="B65" t="str">
        <x:v>Company_63</x:v>
      </x:c>
      <x:c r="C65" t="str">
        <x:v>Cybersecurity</x:v>
      </x:c>
      <x:c r="D65" t="str">
        <x:v>DE</x:v>
      </x:c>
      <x:c r="E65" s="14" t="n">
        <x:v>45462</x:v>
      </x:c>
      <x:c r="F65" t="str">
        <x:v>2024-06</x:v>
      </x:c>
      <x:c r="G65" t="str">
        <x:v>ads</x:v>
      </x:c>
      <x:c r="H65" t="str">
        <x:v>Enterprise</x:v>
      </x:c>
      <x:c r="I65" t="n">
        <x:v>5</x:v>
      </x:c>
      <x:c r="J65" s="1" t="b">
        <x:v>1</x:v>
      </x:c>
      <x:c r="K65" t="str">
        <x:v>Active</x:v>
      </x:c>
      <x:c r="L65" t="n">
        <x:v>195</x:v>
      </x:c>
      <x:c r="M65" t="str"/>
      <x:c r="N65" t="n">
        <x:v>0</x:v>
      </x:c>
      <x:c r="O65" t="n">
        <x:v>13</x:v>
      </x:c>
      <x:c r="P65" s="16" t="n">
        <x:v>20299</x:v>
      </x:c>
      <x:c r="Q65" t="n">
        <x:v>0</x:v>
      </x:c>
      <x:c r="R65" t="n">
        <x:v>0</x:v>
      </x:c>
      <x:c r="S65" t="n">
        <x:v>729</x:v>
      </x:c>
      <x:c r="T65" s="18" t="n">
        <x:v>61.21722222222222</x:v>
      </x:c>
      <x:c r="U65" t="n">
        <x:v>45</x:v>
      </x:c>
      <x:c r="V65" t="n">
        <x:v>33</x:v>
      </x:c>
      <x:c r="W65" t="n">
        <x:v>5</x:v>
      </x:c>
      <x:c r="X65" s="18" t="n">
        <x:v>30.2</x:v>
      </x:c>
      <x:c r="Y65" s="18" t="n">
        <x:v>102.6</x:v>
      </x:c>
      <x:c r="Z65" s="18" t="n">
        <x:v>5</x:v>
      </x:c>
      <x:c r="AA65" t="n">
        <x:v>0</x:v>
      </x:c>
    </x:row>
    <x:row r="66">
      <x:c r="A66" t="str">
        <x:v>A-7e0a10</x:v>
      </x:c>
      <x:c r="B66" t="str">
        <x:v>Company_64</x:v>
      </x:c>
      <x:c r="C66" t="str">
        <x:v>FinTech</x:v>
      </x:c>
      <x:c r="D66" t="str">
        <x:v>US</x:v>
      </x:c>
      <x:c r="E66" s="14" t="n">
        <x:v>45248</x:v>
      </x:c>
      <x:c r="F66" t="str">
        <x:v>2023-11</x:v>
      </x:c>
      <x:c r="G66" t="str">
        <x:v>ads</x:v>
      </x:c>
      <x:c r="H66" t="str">
        <x:v>Enterprise</x:v>
      </x:c>
      <x:c r="I66" t="n">
        <x:v>46</x:v>
      </x:c>
      <x:c r="J66" s="1" t="b">
        <x:v>0</x:v>
      </x:c>
      <x:c r="K66" t="str">
        <x:v>Active</x:v>
      </x:c>
      <x:c r="L66" t="n">
        <x:v>409</x:v>
      </x:c>
      <x:c r="M66" t="str"/>
      <x:c r="N66" t="n">
        <x:v>1</x:v>
      </x:c>
      <x:c r="O66" t="n">
        <x:v>10</x:v>
      </x:c>
      <x:c r="P66" s="16" t="n">
        <x:v>41116</x:v>
      </x:c>
      <x:c r="Q66" t="n">
        <x:v>1</x:v>
      </x:c>
      <x:c r="R66" t="n">
        <x:v>0</x:v>
      </x:c>
      <x:c r="S66" t="n">
        <x:v>511</x:v>
      </x:c>
      <x:c r="T66" s="18" t="n">
        <x:v>48.10055555555556</x:v>
      </x:c>
      <x:c r="U66" t="n">
        <x:v>35</x:v>
      </x:c>
      <x:c r="V66" t="n">
        <x:v>34</x:v>
      </x:c>
      <x:c r="W66" t="n">
        <x:v>5</x:v>
      </x:c>
      <x:c r="X66" s="18" t="n">
        <x:v>39.4</x:v>
      </x:c>
      <x:c r="Y66" s="18" t="n">
        <x:v>62.6</x:v>
      </x:c>
      <x:c r="Z66" s="18" t="n">
        <x:v>4</x:v>
      </x:c>
      <x:c r="AA66" t="n">
        <x:v>0</x:v>
      </x:c>
    </x:row>
    <x:row r="67">
      <x:c r="A67" t="str">
        <x:v>A-118d55</x:v>
      </x:c>
      <x:c r="B67" t="str">
        <x:v>Company_65</x:v>
      </x:c>
      <x:c r="C67" t="str">
        <x:v>Cybersecurity</x:v>
      </x:c>
      <x:c r="D67" t="str">
        <x:v>US</x:v>
      </x:c>
      <x:c r="E67" s="14" t="n">
        <x:v>45587</x:v>
      </x:c>
      <x:c r="F67" t="str">
        <x:v>2024-10</x:v>
      </x:c>
      <x:c r="G67" t="str">
        <x:v>organic</x:v>
      </x:c>
      <x:c r="H67" t="str">
        <x:v>Basic</x:v>
      </x:c>
      <x:c r="I67" t="n">
        <x:v>8</x:v>
      </x:c>
      <x:c r="J67" s="1" t="b">
        <x:v>0</x:v>
      </x:c>
      <x:c r="K67" t="str">
        <x:v>Active</x:v>
      </x:c>
      <x:c r="L67" t="n">
        <x:v>70</x:v>
      </x:c>
      <x:c r="M67" t="str"/>
      <x:c r="N67" t="n">
        <x:v>2</x:v>
      </x:c>
      <x:c r="O67" t="n">
        <x:v>12</x:v>
      </x:c>
      <x:c r="P67" s="16" t="n">
        <x:v>18148</x:v>
      </x:c>
      <x:c r="Q67" t="n">
        <x:v>3</x:v>
      </x:c>
      <x:c r="R67" t="n">
        <x:v>4</x:v>
      </x:c>
      <x:c r="S67" t="n">
        <x:v>599</x:v>
      </x:c>
      <x:c r="T67" s="18" t="n">
        <x:v>46.70638888888889</x:v>
      </x:c>
      <x:c r="U67" t="n">
        <x:v>33</x:v>
      </x:c>
      <x:c r="V67" t="n">
        <x:v>29</x:v>
      </x:c>
      <x:c r="W67" t="n">
        <x:v>5</x:v>
      </x:c>
      <x:c r="X67" s="18" t="n">
        <x:v>24.2</x:v>
      </x:c>
      <x:c r="Y67" s="18" t="n">
        <x:v>56.8</x:v>
      </x:c>
      <x:c r="Z67" s="18" t="n">
        <x:v>4.333333333333333</x:v>
      </x:c>
      <x:c r="AA67" t="n">
        <x:v>0</x:v>
      </x:c>
    </x:row>
    <x:row r="68">
      <x:c r="A68" t="str">
        <x:v>A-526d93</x:v>
      </x:c>
      <x:c r="B68" t="str">
        <x:v>Company_66</x:v>
      </x:c>
      <x:c r="C68" t="str">
        <x:v>HealthTech</x:v>
      </x:c>
      <x:c r="D68" t="str">
        <x:v>FR</x:v>
      </x:c>
      <x:c r="E68" s="14" t="n">
        <x:v>45396</x:v>
      </x:c>
      <x:c r="F68" t="str">
        <x:v>2024-04</x:v>
      </x:c>
      <x:c r="G68" t="str">
        <x:v>organic</x:v>
      </x:c>
      <x:c r="H68" t="str">
        <x:v>Basic</x:v>
      </x:c>
      <x:c r="I68" t="n">
        <x:v>43</x:v>
      </x:c>
      <x:c r="J68" s="1" t="b">
        <x:v>0</x:v>
      </x:c>
      <x:c r="K68" t="str">
        <x:v>Active</x:v>
      </x:c>
      <x:c r="L68" t="n">
        <x:v>261</x:v>
      </x:c>
      <x:c r="M68" t="str"/>
      <x:c r="N68" t="n">
        <x:v>3</x:v>
      </x:c>
      <x:c r="O68" t="n">
        <x:v>9</x:v>
      </x:c>
      <x:c r="P68" s="16" t="n">
        <x:v>30644</x:v>
      </x:c>
      <x:c r="Q68" t="n">
        <x:v>2</x:v>
      </x:c>
      <x:c r="R68" t="n">
        <x:v>0</x:v>
      </x:c>
      <x:c r="S68" t="n">
        <x:v>565</x:v>
      </x:c>
      <x:c r="T68" s="18" t="n">
        <x:v>44.225833333333334</x:v>
      </x:c>
      <x:c r="U68" t="n">
        <x:v>45</x:v>
      </x:c>
      <x:c r="V68" t="n">
        <x:v>28</x:v>
      </x:c>
      <x:c r="W68" t="n">
        <x:v>5</x:v>
      </x:c>
      <x:c r="X68" s="18" t="n">
        <x:v>51.4</x:v>
      </x:c>
      <x:c r="Y68" s="18" t="n">
        <x:v>134.6</x:v>
      </x:c>
      <x:c r="Z68" s="18" t="n">
        <x:v>3.5</x:v>
      </x:c>
      <x:c r="AA68" t="n">
        <x:v>1</x:v>
      </x:c>
    </x:row>
    <x:row r="69">
      <x:c r="A69" t="str">
        <x:v>A-f92792</x:v>
      </x:c>
      <x:c r="B69" t="str">
        <x:v>Company_67</x:v>
      </x:c>
      <x:c r="C69" t="str">
        <x:v>FinTech</x:v>
      </x:c>
      <x:c r="D69" t="str">
        <x:v>US</x:v>
      </x:c>
      <x:c r="E69" s="14" t="n">
        <x:v>45477</x:v>
      </x:c>
      <x:c r="F69" t="str">
        <x:v>2024-07</x:v>
      </x:c>
      <x:c r="G69" t="str">
        <x:v>ads</x:v>
      </x:c>
      <x:c r="H69" t="str">
        <x:v>Pro</x:v>
      </x:c>
      <x:c r="I69" t="n">
        <x:v>1</x:v>
      </x:c>
      <x:c r="J69" s="1" t="b">
        <x:v>0</x:v>
      </x:c>
      <x:c r="K69" t="str">
        <x:v>Active</x:v>
      </x:c>
      <x:c r="L69" t="n">
        <x:v>180</x:v>
      </x:c>
      <x:c r="M69" t="str"/>
      <x:c r="N69" t="n">
        <x:v>1</x:v>
      </x:c>
      <x:c r="O69" t="n">
        <x:v>14</x:v>
      </x:c>
      <x:c r="P69" s="16" t="n">
        <x:v>18807</x:v>
      </x:c>
      <x:c r="Q69" t="n">
        <x:v>1</x:v>
      </x:c>
      <x:c r="R69" t="n">
        <x:v>1</x:v>
      </x:c>
      <x:c r="S69" t="n">
        <x:v>528</x:v>
      </x:c>
      <x:c r="T69" s="18" t="n">
        <x:v>41.42333333333333</x:v>
      </x:c>
      <x:c r="U69" t="n">
        <x:v>31</x:v>
      </x:c>
      <x:c r="V69" t="n">
        <x:v>32</x:v>
      </x:c>
      <x:c r="W69" t="n">
        <x:v>2</x:v>
      </x:c>
      <x:c r="X69" s="18" t="n">
        <x:v>45</x:v>
      </x:c>
      <x:c r="Y69" s="18" t="n">
        <x:v>82</x:v>
      </x:c>
      <x:c r="Z69" s="18" t="n">
        <x:v>4</x:v>
      </x:c>
      <x:c r="AA69" t="n">
        <x:v>0</x:v>
      </x:c>
    </x:row>
    <x:row r="70">
      <x:c r="A70" t="str">
        <x:v>A-84ebe4</x:v>
      </x:c>
      <x:c r="B70" t="str">
        <x:v>Company_68</x:v>
      </x:c>
      <x:c r="C70" t="str">
        <x:v>FinTech</x:v>
      </x:c>
      <x:c r="D70" t="str">
        <x:v>US</x:v>
      </x:c>
      <x:c r="E70" s="14" t="n">
        <x:v>44997</x:v>
      </x:c>
      <x:c r="F70" t="str">
        <x:v>2023-03</x:v>
      </x:c>
      <x:c r="G70" t="str">
        <x:v>ads</x:v>
      </x:c>
      <x:c r="H70" t="str">
        <x:v>Pro</x:v>
      </x:c>
      <x:c r="I70" t="n">
        <x:v>18</x:v>
      </x:c>
      <x:c r="J70" s="1" t="b">
        <x:v>1</x:v>
      </x:c>
      <x:c r="K70" t="str">
        <x:v>Churned</x:v>
      </x:c>
      <x:c r="L70" t="n">
        <x:v>314</x:v>
      </x:c>
      <x:c r="M70" t="str">
        <x:v>support</x:v>
      </x:c>
      <x:c r="N70" t="n">
        <x:v>2</x:v>
      </x:c>
      <x:c r="O70" t="n">
        <x:v>11</x:v>
      </x:c>
      <x:c r="P70" s="16" t="n">
        <x:v>27652</x:v>
      </x:c>
      <x:c r="Q70" t="n">
        <x:v>0</x:v>
      </x:c>
      <x:c r="R70" t="n">
        <x:v>0</x:v>
      </x:c>
      <x:c r="S70" t="n">
        <x:v>396</x:v>
      </x:c>
      <x:c r="T70" s="18" t="n">
        <x:v>34.34861111111111</x:v>
      </x:c>
      <x:c r="U70" t="n">
        <x:v>26</x:v>
      </x:c>
      <x:c r="V70" t="n">
        <x:v>27</x:v>
      </x:c>
      <x:c r="W70" t="n">
        <x:v>4</x:v>
      </x:c>
      <x:c r="X70" s="18" t="n">
        <x:v>29.5</x:v>
      </x:c>
      <x:c r="Y70" s="18" t="n">
        <x:v>135.5</x:v>
      </x:c>
      <x:c r="Z70" s="18" t="n">
        <x:v>4</x:v>
      </x:c>
      <x:c r="AA70" t="n">
        <x:v>0</x:v>
      </x:c>
    </x:row>
    <x:row r="71">
      <x:c r="A71" t="str">
        <x:v>A-5b4ebb</x:v>
      </x:c>
      <x:c r="B71" t="str">
        <x:v>Company_69</x:v>
      </x:c>
      <x:c r="C71" t="str">
        <x:v>Cybersecurity</x:v>
      </x:c>
      <x:c r="D71" t="str">
        <x:v>UK</x:v>
      </x:c>
      <x:c r="E71" s="14" t="n">
        <x:v>45483</x:v>
      </x:c>
      <x:c r="F71" t="str">
        <x:v>2024-07</x:v>
      </x:c>
      <x:c r="G71" t="str">
        <x:v>other</x:v>
      </x:c>
      <x:c r="H71" t="str">
        <x:v>Basic</x:v>
      </x:c>
      <x:c r="I71" t="n">
        <x:v>21</x:v>
      </x:c>
      <x:c r="J71" s="1" t="b">
        <x:v>1</x:v>
      </x:c>
      <x:c r="K71" t="str">
        <x:v>Churned</x:v>
      </x:c>
      <x:c r="L71" t="n">
        <x:v>174</x:v>
      </x:c>
      <x:c r="M71" t="str"/>
      <x:c r="N71" t="n">
        <x:v>0</x:v>
      </x:c>
      <x:c r="O71" t="n">
        <x:v>13</x:v>
      </x:c>
      <x:c r="P71" s="16" t="n">
        <x:v>27404</x:v>
      </x:c>
      <x:c r="Q71" t="n">
        <x:v>1</x:v>
      </x:c>
      <x:c r="R71" t="n">
        <x:v>0</x:v>
      </x:c>
      <x:c r="S71" t="n">
        <x:v>692</x:v>
      </x:c>
      <x:c r="T71" s="18" t="n">
        <x:v>54.52777777777778</x:v>
      </x:c>
      <x:c r="U71" t="n">
        <x:v>25</x:v>
      </x:c>
      <x:c r="V71" t="n">
        <x:v>34</x:v>
      </x:c>
      <x:c r="W71" t="n">
        <x:v>5</x:v>
      </x:c>
      <x:c r="X71" s="18" t="n">
        <x:v>35.4</x:v>
      </x:c>
      <x:c r="Y71" s="18" t="n">
        <x:v>63</x:v>
      </x:c>
      <x:c r="Z71" s="18" t="n">
        <x:v>4.75</x:v>
      </x:c>
      <x:c r="AA71" t="n">
        <x:v>0</x:v>
      </x:c>
    </x:row>
    <x:row r="72">
      <x:c r="A72" t="str">
        <x:v>A-2922b6</x:v>
      </x:c>
      <x:c r="B72" t="str">
        <x:v>Company_70</x:v>
      </x:c>
      <x:c r="C72" t="str">
        <x:v>HealthTech</x:v>
      </x:c>
      <x:c r="D72" t="str">
        <x:v>US</x:v>
      </x:c>
      <x:c r="E72" s="14" t="n">
        <x:v>45610</x:v>
      </x:c>
      <x:c r="F72" t="str">
        <x:v>2024-11</x:v>
      </x:c>
      <x:c r="G72" t="str">
        <x:v>organic</x:v>
      </x:c>
      <x:c r="H72" t="str">
        <x:v>Basic</x:v>
      </x:c>
      <x:c r="I72" t="n">
        <x:v>15</x:v>
      </x:c>
      <x:c r="J72" s="1" t="b">
        <x:v>0</x:v>
      </x:c>
      <x:c r="K72" t="str">
        <x:v>Active</x:v>
      </x:c>
      <x:c r="L72" t="n">
        <x:v>47</x:v>
      </x:c>
      <x:c r="M72" t="str"/>
      <x:c r="N72" t="n">
        <x:v>1</x:v>
      </x:c>
      <x:c r="O72" t="n">
        <x:v>6</x:v>
      </x:c>
      <x:c r="P72" s="16" t="n">
        <x:v>9934</x:v>
      </x:c>
      <x:c r="Q72" t="n">
        <x:v>1</x:v>
      </x:c>
      <x:c r="R72" t="n">
        <x:v>0</x:v>
      </x:c>
      <x:c r="S72" t="n">
        <x:v>393</x:v>
      </x:c>
      <x:c r="T72" s="18" t="n">
        <x:v>32.56583333333333</x:v>
      </x:c>
      <x:c r="U72" t="n">
        <x:v>13</x:v>
      </x:c>
      <x:c r="V72" t="n">
        <x:v>27</x:v>
      </x:c>
      <x:c r="W72" t="n">
        <x:v>2</x:v>
      </x:c>
      <x:c r="X72" s="18" t="n">
        <x:v>15.5</x:v>
      </x:c>
      <x:c r="Y72" s="18" t="n">
        <x:v>103</x:v>
      </x:c>
      <x:c r="Z72" s="18" t="n">
        <x:v>4</x:v>
      </x:c>
      <x:c r="AA72" t="n">
        <x:v>0</x:v>
      </x:c>
    </x:row>
    <x:row r="73">
      <x:c r="A73" t="str">
        <x:v>A-9b9fe9</x:v>
      </x:c>
      <x:c r="B73" t="str">
        <x:v>Company_71</x:v>
      </x:c>
      <x:c r="C73" t="str">
        <x:v>EdTech</x:v>
      </x:c>
      <x:c r="D73" t="str">
        <x:v>AU</x:v>
      </x:c>
      <x:c r="E73" s="14" t="n">
        <x:v>45197</x:v>
      </x:c>
      <x:c r="F73" t="str">
        <x:v>2023-09</x:v>
      </x:c>
      <x:c r="G73" t="str">
        <x:v>other</x:v>
      </x:c>
      <x:c r="H73" t="str">
        <x:v>Basic</x:v>
      </x:c>
      <x:c r="I73" t="n">
        <x:v>5</x:v>
      </x:c>
      <x:c r="J73" s="1" t="b">
        <x:v>0</x:v>
      </x:c>
      <x:c r="K73" t="str">
        <x:v>Active</x:v>
      </x:c>
      <x:c r="L73" t="n">
        <x:v>460</x:v>
      </x:c>
      <x:c r="M73" t="str"/>
      <x:c r="N73" t="n">
        <x:v>2</x:v>
      </x:c>
      <x:c r="O73" t="n">
        <x:v>12</x:v>
      </x:c>
      <x:c r="P73" s="16" t="n">
        <x:v>19480</x:v>
      </x:c>
      <x:c r="Q73" t="n">
        <x:v>0</x:v>
      </x:c>
      <x:c r="R73" t="n">
        <x:v>1</x:v>
      </x:c>
      <x:c r="S73" t="n">
        <x:v>597</x:v>
      </x:c>
      <x:c r="T73" s="18" t="n">
        <x:v>54.63916666666667</x:v>
      </x:c>
      <x:c r="U73" t="n">
        <x:v>22</x:v>
      </x:c>
      <x:c r="V73" t="n">
        <x:v>30</x:v>
      </x:c>
      <x:c r="W73" t="n">
        <x:v>4</x:v>
      </x:c>
      <x:c r="X73" s="18" t="n">
        <x:v>33.5</x:v>
      </x:c>
      <x:c r="Y73" s="18" t="n">
        <x:v>156.5</x:v>
      </x:c>
      <x:c r="Z73" s="18" t="n">
        <x:v>4</x:v>
      </x:c>
      <x:c r="AA73" t="n">
        <x:v>0</x:v>
      </x:c>
    </x:row>
    <x:row r="74">
      <x:c r="A74" t="str">
        <x:v>A-a8b49c</x:v>
      </x:c>
      <x:c r="B74" t="str">
        <x:v>Company_72</x:v>
      </x:c>
      <x:c r="C74" t="str">
        <x:v>Cybersecurity</x:v>
      </x:c>
      <x:c r="D74" t="str">
        <x:v>UK</x:v>
      </x:c>
      <x:c r="E74" s="14" t="n">
        <x:v>45205</x:v>
      </x:c>
      <x:c r="F74" t="str">
        <x:v>2023-10</x:v>
      </x:c>
      <x:c r="G74" t="str">
        <x:v>partner</x:v>
      </x:c>
      <x:c r="H74" t="str">
        <x:v>Basic</x:v>
      </x:c>
      <x:c r="I74" t="n">
        <x:v>7</x:v>
      </x:c>
      <x:c r="J74" s="1" t="b">
        <x:v>0</x:v>
      </x:c>
      <x:c r="K74" t="str">
        <x:v>Active</x:v>
      </x:c>
      <x:c r="L74" t="n">
        <x:v>452</x:v>
      </x:c>
      <x:c r="M74" t="str"/>
      <x:c r="N74" t="n">
        <x:v>1</x:v>
      </x:c>
      <x:c r="O74" t="n">
        <x:v>12</x:v>
      </x:c>
      <x:c r="P74" s="16" t="n">
        <x:v>11567</x:v>
      </x:c>
      <x:c r="Q74" t="n">
        <x:v>1</x:v>
      </x:c>
      <x:c r="R74" t="n">
        <x:v>0</x:v>
      </x:c>
      <x:c r="S74" t="n">
        <x:v>545</x:v>
      </x:c>
      <x:c r="T74" s="18" t="n">
        <x:v>50.94416666666667</x:v>
      </x:c>
      <x:c r="U74" t="n">
        <x:v>43</x:v>
      </x:c>
      <x:c r="V74" t="n">
        <x:v>27</x:v>
      </x:c>
      <x:c r="W74" t="n">
        <x:v>1</x:v>
      </x:c>
      <x:c r="X74" s="18" t="n">
        <x:v>72</x:v>
      </x:c>
      <x:c r="Y74" s="18" t="n">
        <x:v>105</x:v>
      </x:c>
      <x:c r="Z74" s="18" t="n">
        <x:v>4</x:v>
      </x:c>
      <x:c r="AA74" t="n">
        <x:v>0</x:v>
      </x:c>
    </x:row>
    <x:row r="75">
      <x:c r="A75" t="str">
        <x:v>A-9174e0</x:v>
      </x:c>
      <x:c r="B75" t="str">
        <x:v>Company_73</x:v>
      </x:c>
      <x:c r="C75" t="str">
        <x:v>Cybersecurity</x:v>
      </x:c>
      <x:c r="D75" t="str">
        <x:v>US</x:v>
      </x:c>
      <x:c r="E75" s="14" t="n">
        <x:v>45630</x:v>
      </x:c>
      <x:c r="F75" t="str">
        <x:v>2024-12</x:v>
      </x:c>
      <x:c r="G75" t="str">
        <x:v>partner</x:v>
      </x:c>
      <x:c r="H75" t="str">
        <x:v>Basic</x:v>
      </x:c>
      <x:c r="I75" t="n">
        <x:v>37</x:v>
      </x:c>
      <x:c r="J75" s="1" t="b">
        <x:v>0</x:v>
      </x:c>
      <x:c r="K75" t="str">
        <x:v>Active</x:v>
      </x:c>
      <x:c r="L75" t="n">
        <x:v>27</x:v>
      </x:c>
      <x:c r="M75" t="str"/>
      <x:c r="N75" t="n">
        <x:v>0</x:v>
      </x:c>
      <x:c r="O75" t="n">
        <x:v>15</x:v>
      </x:c>
      <x:c r="P75" s="16" t="n">
        <x:v>46613</x:v>
      </x:c>
      <x:c r="Q75" t="n">
        <x:v>2</x:v>
      </x:c>
      <x:c r="R75" t="n">
        <x:v>0</x:v>
      </x:c>
      <x:c r="S75" t="n">
        <x:v>689</x:v>
      </x:c>
      <x:c r="T75" s="18" t="n">
        <x:v>57.260555555555555</x:v>
      </x:c>
      <x:c r="U75" t="n">
        <x:v>61</x:v>
      </x:c>
      <x:c r="V75" t="n">
        <x:v>34</x:v>
      </x:c>
      <x:c r="W75" t="n">
        <x:v>2</x:v>
      </x:c>
      <x:c r="X75" s="18" t="n">
        <x:v>39</x:v>
      </x:c>
      <x:c r="Y75" s="18" t="n">
        <x:v>167</x:v>
      </x:c>
      <x:c r="Z75" s="18" t="n">
        <x:v>5</x:v>
      </x:c>
      <x:c r="AA75" t="n">
        <x:v>0</x:v>
      </x:c>
    </x:row>
    <x:row r="76">
      <x:c r="A76" t="str">
        <x:v>A-a1bbb6</x:v>
      </x:c>
      <x:c r="B76" t="str">
        <x:v>Company_74</x:v>
      </x:c>
      <x:c r="C76" t="str">
        <x:v>DevTools</x:v>
      </x:c>
      <x:c r="D76" t="str">
        <x:v>CA</x:v>
      </x:c>
      <x:c r="E76" s="14" t="n">
        <x:v>45021</x:v>
      </x:c>
      <x:c r="F76" t="str">
        <x:v>2023-04</x:v>
      </x:c>
      <x:c r="G76" t="str">
        <x:v>organic</x:v>
      </x:c>
      <x:c r="H76" t="str">
        <x:v>Basic</x:v>
      </x:c>
      <x:c r="I76" t="n">
        <x:v>1</x:v>
      </x:c>
      <x:c r="J76" s="1" t="b">
        <x:v>0</x:v>
      </x:c>
      <x:c r="K76" t="str">
        <x:v>Active</x:v>
      </x:c>
      <x:c r="L76" t="n">
        <x:v>636</x:v>
      </x:c>
      <x:c r="M76" t="str"/>
      <x:c r="N76" t="n">
        <x:v>0</x:v>
      </x:c>
      <x:c r="O76" t="n">
        <x:v>8</x:v>
      </x:c>
      <x:c r="P76" s="16" t="n">
        <x:v>14157</x:v>
      </x:c>
      <x:c r="Q76" t="n">
        <x:v>0</x:v>
      </x:c>
      <x:c r="R76" t="n">
        <x:v>0</x:v>
      </x:c>
      <x:c r="S76" t="n">
        <x:v>366</x:v>
      </x:c>
      <x:c r="T76" s="18" t="n">
        <x:v>32.90694444444444</x:v>
      </x:c>
      <x:c r="U76" t="n">
        <x:v>20</x:v>
      </x:c>
      <x:c r="V76" t="n">
        <x:v>23</x:v>
      </x:c>
      <x:c r="W76" t="n">
        <x:v>3</x:v>
      </x:c>
      <x:c r="X76" s="18" t="n">
        <x:v>17.666666666666668</x:v>
      </x:c>
      <x:c r="Y76" s="18" t="n">
        <x:v>120.66666666666667</x:v>
      </x:c>
      <x:c r="Z76" s="18" t="n">
        <x:v>4</x:v>
      </x:c>
      <x:c r="AA76" t="n">
        <x:v>0</x:v>
      </x:c>
    </x:row>
    <x:row r="77">
      <x:c r="A77" t="str">
        <x:v>A-c45b23</x:v>
      </x:c>
      <x:c r="B77" t="str">
        <x:v>Company_75</x:v>
      </x:c>
      <x:c r="C77" t="str">
        <x:v>FinTech</x:v>
      </x:c>
      <x:c r="D77" t="str">
        <x:v>UK</x:v>
      </x:c>
      <x:c r="E77" s="14" t="n">
        <x:v>45268</x:v>
      </x:c>
      <x:c r="F77" t="str">
        <x:v>2023-12</x:v>
      </x:c>
      <x:c r="G77" t="str">
        <x:v>partner</x:v>
      </x:c>
      <x:c r="H77" t="str">
        <x:v>Basic</x:v>
      </x:c>
      <x:c r="I77" t="n">
        <x:v>5</x:v>
      </x:c>
      <x:c r="J77" s="1" t="b">
        <x:v>0</x:v>
      </x:c>
      <x:c r="K77" t="str">
        <x:v>Active</x:v>
      </x:c>
      <x:c r="L77" t="n">
        <x:v>389</x:v>
      </x:c>
      <x:c r="M77" t="str"/>
      <x:c r="N77" t="n">
        <x:v>1</x:v>
      </x:c>
      <x:c r="O77" t="n">
        <x:v>12</x:v>
      </x:c>
      <x:c r="P77" s="16" t="n">
        <x:v>3330</x:v>
      </x:c>
      <x:c r="Q77" t="n">
        <x:v>0</x:v>
      </x:c>
      <x:c r="R77" t="n">
        <x:v>0</x:v>
      </x:c>
      <x:c r="S77" t="n">
        <x:v>581</x:v>
      </x:c>
      <x:c r="T77" s="18" t="n">
        <x:v>50.29333333333334</x:v>
      </x:c>
      <x:c r="U77" t="n">
        <x:v>30</x:v>
      </x:c>
      <x:c r="V77" t="n">
        <x:v>32</x:v>
      </x:c>
      <x:c r="W77" t="n">
        <x:v>3</x:v>
      </x:c>
      <x:c r="X77" s="18" t="n">
        <x:v>36.666666666666664</x:v>
      </x:c>
      <x:c r="Y77" s="18" t="n">
        <x:v>51.666666666666664</x:v>
      </x:c>
      <x:c r="Z77" s="18" t="n">
        <x:v>3</x:v>
      </x:c>
      <x:c r="AA77" t="n">
        <x:v>0</x:v>
      </x:c>
    </x:row>
    <x:row r="78">
      <x:c r="A78" t="str">
        <x:v>A-02cd81</x:v>
      </x:c>
      <x:c r="B78" t="str">
        <x:v>Company_76</x:v>
      </x:c>
      <x:c r="C78" t="str">
        <x:v>HealthTech</x:v>
      </x:c>
      <x:c r="D78" t="str">
        <x:v>IN</x:v>
      </x:c>
      <x:c r="E78" s="14" t="n">
        <x:v>45379</x:v>
      </x:c>
      <x:c r="F78" t="str">
        <x:v>2024-03</x:v>
      </x:c>
      <x:c r="G78" t="str">
        <x:v>other</x:v>
      </x:c>
      <x:c r="H78" t="str">
        <x:v>Basic</x:v>
      </x:c>
      <x:c r="I78" t="n">
        <x:v>44</x:v>
      </x:c>
      <x:c r="J78" s="1" t="b">
        <x:v>0</x:v>
      </x:c>
      <x:c r="K78" t="str">
        <x:v>Active</x:v>
      </x:c>
      <x:c r="L78" t="n">
        <x:v>278</x:v>
      </x:c>
      <x:c r="M78" t="str"/>
      <x:c r="N78" t="n">
        <x:v>1</x:v>
      </x:c>
      <x:c r="O78" t="n">
        <x:v>14</x:v>
      </x:c>
      <x:c r="P78" s="16" t="n">
        <x:v>30800</x:v>
      </x:c>
      <x:c r="Q78" t="n">
        <x:v>0</x:v>
      </x:c>
      <x:c r="R78" t="n">
        <x:v>0</x:v>
      </x:c>
      <x:c r="S78" t="n">
        <x:v>684</x:v>
      </x:c>
      <x:c r="T78" s="18" t="n">
        <x:v>60.91777777777778</x:v>
      </x:c>
      <x:c r="U78" t="n">
        <x:v>28</x:v>
      </x:c>
      <x:c r="V78" t="n">
        <x:v>31</x:v>
      </x:c>
      <x:c r="W78" t="n">
        <x:v>3</x:v>
      </x:c>
      <x:c r="X78" s="18" t="n">
        <x:v>17.333333333333332</x:v>
      </x:c>
      <x:c r="Y78" s="18" t="n">
        <x:v>84.66666666666667</x:v>
      </x:c>
      <x:c r="Z78" s="18" t="n">
        <x:v>4.5</x:v>
      </x:c>
      <x:c r="AA78" t="n">
        <x:v>1</x:v>
      </x:c>
    </x:row>
    <x:row r="79">
      <x:c r="A79" t="str">
        <x:v>A-ee42db</x:v>
      </x:c>
      <x:c r="B79" t="str">
        <x:v>Company_77</x:v>
      </x:c>
      <x:c r="C79" t="str">
        <x:v>EdTech</x:v>
      </x:c>
      <x:c r="D79" t="str">
        <x:v>DE</x:v>
      </x:c>
      <x:c r="E79" s="14" t="n">
        <x:v>45041</x:v>
      </x:c>
      <x:c r="F79" t="str">
        <x:v>2023-04</x:v>
      </x:c>
      <x:c r="G79" t="str">
        <x:v>ads</x:v>
      </x:c>
      <x:c r="H79" t="str">
        <x:v>Enterprise</x:v>
      </x:c>
      <x:c r="I79" t="n">
        <x:v>13</x:v>
      </x:c>
      <x:c r="J79" s="1" t="b">
        <x:v>0</x:v>
      </x:c>
      <x:c r="K79" t="str">
        <x:v>Active</x:v>
      </x:c>
      <x:c r="L79" t="n">
        <x:v>616</x:v>
      </x:c>
      <x:c r="M79" t="str"/>
      <x:c r="N79" t="n">
        <x:v>4</x:v>
      </x:c>
      <x:c r="O79" t="n">
        <x:v>12</x:v>
      </x:c>
      <x:c r="P79" s="16" t="n">
        <x:v>11567</x:v>
      </x:c>
      <x:c r="Q79" t="n">
        <x:v>1</x:v>
      </x:c>
      <x:c r="R79" t="n">
        <x:v>1</x:v>
      </x:c>
      <x:c r="S79" t="n">
        <x:v>511</x:v>
      </x:c>
      <x:c r="T79" s="18" t="n">
        <x:v>41.91</x:v>
      </x:c>
      <x:c r="U79" t="n">
        <x:v>33</x:v>
      </x:c>
      <x:c r="V79" t="n">
        <x:v>31</x:v>
      </x:c>
      <x:c r="W79" t="n">
        <x:v>4</x:v>
      </x:c>
      <x:c r="X79" s="18" t="n">
        <x:v>33.75</x:v>
      </x:c>
      <x:c r="Y79" s="18" t="n">
        <x:v>98.25</x:v>
      </x:c>
      <x:c r="Z79" s="18" t="n">
        <x:v>3</x:v>
      </x:c>
      <x:c r="AA79" t="n">
        <x:v>0</x:v>
      </x:c>
    </x:row>
    <x:row r="80">
      <x:c r="A80" t="str">
        <x:v>A-432483</x:v>
      </x:c>
      <x:c r="B80" t="str">
        <x:v>Company_78</x:v>
      </x:c>
      <x:c r="C80" t="str">
        <x:v>Cybersecurity</x:v>
      </x:c>
      <x:c r="D80" t="str">
        <x:v>US</x:v>
      </x:c>
      <x:c r="E80" s="14" t="n">
        <x:v>44963</x:v>
      </x:c>
      <x:c r="F80" t="str">
        <x:v>2023-02</x:v>
      </x:c>
      <x:c r="G80" t="str">
        <x:v>ads</x:v>
      </x:c>
      <x:c r="H80" t="str">
        <x:v>Pro</x:v>
      </x:c>
      <x:c r="I80" t="n">
        <x:v>4</x:v>
      </x:c>
      <x:c r="J80" s="1" t="b">
        <x:v>0</x:v>
      </x:c>
      <x:c r="K80" t="str">
        <x:v>Active</x:v>
      </x:c>
      <x:c r="L80" t="n">
        <x:v>694</x:v>
      </x:c>
      <x:c r="M80" t="str"/>
      <x:c r="N80" t="n">
        <x:v>0</x:v>
      </x:c>
      <x:c r="O80" t="n">
        <x:v>9</x:v>
      </x:c>
      <x:c r="P80" s="16" t="n">
        <x:v>22941</x:v>
      </x:c>
      <x:c r="Q80" t="n">
        <x:v>1</x:v>
      </x:c>
      <x:c r="R80" t="n">
        <x:v>0</x:v>
      </x:c>
      <x:c r="S80" t="n">
        <x:v>451</x:v>
      </x:c>
      <x:c r="T80" s="18" t="n">
        <x:v>42.07222222222222</x:v>
      </x:c>
      <x:c r="U80" t="n">
        <x:v>28</x:v>
      </x:c>
      <x:c r="V80" t="n">
        <x:v>25</x:v>
      </x:c>
      <x:c r="W80" t="n">
        <x:v>1</x:v>
      </x:c>
      <x:c r="X80" s="18" t="n">
        <x:v>51</x:v>
      </x:c>
      <x:c r="Y80" s="18" t="n">
        <x:v>128</x:v>
      </x:c>
      <x:c r="Z80" s="18"/>
      <x:c r="AA80" t="n">
        <x:v>0</x:v>
      </x:c>
    </x:row>
    <x:row r="81">
      <x:c r="A81" t="str">
        <x:v>A-9208f0</x:v>
      </x:c>
      <x:c r="B81" t="str">
        <x:v>Company_79</x:v>
      </x:c>
      <x:c r="C81" t="str">
        <x:v>EdTech</x:v>
      </x:c>
      <x:c r="D81" t="str">
        <x:v>US</x:v>
      </x:c>
      <x:c r="E81" s="14" t="n">
        <x:v>45057</x:v>
      </x:c>
      <x:c r="F81" t="str">
        <x:v>2023-05</x:v>
      </x:c>
      <x:c r="G81" t="str">
        <x:v>organic</x:v>
      </x:c>
      <x:c r="H81" t="str">
        <x:v>Pro</x:v>
      </x:c>
      <x:c r="I81" t="n">
        <x:v>1</x:v>
      </x:c>
      <x:c r="J81" s="1" t="b">
        <x:v>0</x:v>
      </x:c>
      <x:c r="K81" t="str">
        <x:v>Churned</x:v>
      </x:c>
      <x:c r="L81" t="n">
        <x:v>548</x:v>
      </x:c>
      <x:c r="M81" t="str">
        <x:v>features</x:v>
      </x:c>
      <x:c r="N81" t="n">
        <x:v>4</x:v>
      </x:c>
      <x:c r="O81" t="n">
        <x:v>8</x:v>
      </x:c>
      <x:c r="P81" s="16" t="n">
        <x:v>3413</x:v>
      </x:c>
      <x:c r="Q81" t="n">
        <x:v>1</x:v>
      </x:c>
      <x:c r="R81" t="n">
        <x:v>0</x:v>
      </x:c>
      <x:c r="S81" t="n">
        <x:v>538</x:v>
      </x:c>
      <x:c r="T81" s="18" t="n">
        <x:v>44.08361111111111</x:v>
      </x:c>
      <x:c r="U81" t="n">
        <x:v>31</x:v>
      </x:c>
      <x:c r="V81" t="n">
        <x:v>29</x:v>
      </x:c>
      <x:c r="W81" t="n">
        <x:v>8</x:v>
      </x:c>
      <x:c r="X81" s="18" t="n">
        <x:v>41.25</x:v>
      </x:c>
      <x:c r="Y81" s="18" t="n">
        <x:v>59.75</x:v>
      </x:c>
      <x:c r="Z81" s="18" t="n">
        <x:v>3.3333333333333335</x:v>
      </x:c>
      <x:c r="AA81" t="n">
        <x:v>1</x:v>
      </x:c>
    </x:row>
    <x:row r="82">
      <x:c r="A82" t="str">
        <x:v>A-98a59a</x:v>
      </x:c>
      <x:c r="B82" t="str">
        <x:v>Company_80</x:v>
      </x:c>
      <x:c r="C82" t="str">
        <x:v>FinTech</x:v>
      </x:c>
      <x:c r="D82" t="str">
        <x:v>UK</x:v>
      </x:c>
      <x:c r="E82" s="14" t="n">
        <x:v>45142</x:v>
      </x:c>
      <x:c r="F82" t="str">
        <x:v>2023-08</x:v>
      </x:c>
      <x:c r="G82" t="str">
        <x:v>partner</x:v>
      </x:c>
      <x:c r="H82" t="str">
        <x:v>Enterprise</x:v>
      </x:c>
      <x:c r="I82" t="n">
        <x:v>56</x:v>
      </x:c>
      <x:c r="J82" s="1" t="b">
        <x:v>0</x:v>
      </x:c>
      <x:c r="K82" t="str">
        <x:v>Active</x:v>
      </x:c>
      <x:c r="L82" t="n">
        <x:v>515</x:v>
      </x:c>
      <x:c r="M82" t="str"/>
      <x:c r="N82" t="n">
        <x:v>1</x:v>
      </x:c>
      <x:c r="O82" t="n">
        <x:v>10</x:v>
      </x:c>
      <x:c r="P82" s="16" t="n">
        <x:v>36456</x:v>
      </x:c>
      <x:c r="Q82" t="n">
        <x:v>2</x:v>
      </x:c>
      <x:c r="R82" t="n">
        <x:v>1</x:v>
      </x:c>
      <x:c r="S82" t="n">
        <x:v>455</x:v>
      </x:c>
      <x:c r="T82" s="18" t="n">
        <x:v>34.56361111111111</x:v>
      </x:c>
      <x:c r="U82" t="n">
        <x:v>21</x:v>
      </x:c>
      <x:c r="V82" t="n">
        <x:v>27</x:v>
      </x:c>
      <x:c r="W82" t="n">
        <x:v>3</x:v>
      </x:c>
      <x:c r="X82" s="18" t="n">
        <x:v>37.333333333333336</x:v>
      </x:c>
      <x:c r="Y82" s="18" t="n">
        <x:v>74</x:v>
      </x:c>
      <x:c r="Z82" s="18" t="n">
        <x:v>4.5</x:v>
      </x:c>
      <x:c r="AA82" t="n">
        <x:v>0</x:v>
      </x:c>
    </x:row>
    <x:row r="83">
      <x:c r="A83" t="str">
        <x:v>A-fe79a5</x:v>
      </x:c>
      <x:c r="B83" t="str">
        <x:v>Company_81</x:v>
      </x:c>
      <x:c r="C83" t="str">
        <x:v>HealthTech</x:v>
      </x:c>
      <x:c r="D83" t="str">
        <x:v>IN</x:v>
      </x:c>
      <x:c r="E83" s="14" t="n">
        <x:v>45343</x:v>
      </x:c>
      <x:c r="F83" t="str">
        <x:v>2024-02</x:v>
      </x:c>
      <x:c r="G83" t="str">
        <x:v>ads</x:v>
      </x:c>
      <x:c r="H83" t="str">
        <x:v>Basic</x:v>
      </x:c>
      <x:c r="I83" t="n">
        <x:v>9</x:v>
      </x:c>
      <x:c r="J83" s="1" t="b">
        <x:v>1</x:v>
      </x:c>
      <x:c r="K83" t="str">
        <x:v>Active</x:v>
      </x:c>
      <x:c r="L83" t="n">
        <x:v>314</x:v>
      </x:c>
      <x:c r="M83" t="str"/>
      <x:c r="N83" t="n">
        <x:v>0</x:v>
      </x:c>
      <x:c r="O83" t="n">
        <x:v>10</x:v>
      </x:c>
      <x:c r="P83" s="16" t="n">
        <x:v>11741</x:v>
      </x:c>
      <x:c r="Q83" t="n">
        <x:v>2</x:v>
      </x:c>
      <x:c r="R83" t="n">
        <x:v>0</x:v>
      </x:c>
      <x:c r="S83" t="n">
        <x:v>335</x:v>
      </x:c>
      <x:c r="T83" s="18" t="n">
        <x:v>26.85333333333333</x:v>
      </x:c>
      <x:c r="U83" t="n">
        <x:v>17</x:v>
      </x:c>
      <x:c r="V83" t="n">
        <x:v>22</x:v>
      </x:c>
      <x:c r="W83" t="n">
        <x:v>4</x:v>
      </x:c>
      <x:c r="X83" s="18" t="n">
        <x:v>28.5</x:v>
      </x:c>
      <x:c r="Y83" s="18" t="n">
        <x:v>61</x:v>
      </x:c>
      <x:c r="Z83" s="18" t="n">
        <x:v>5</x:v>
      </x:c>
      <x:c r="AA83" t="n">
        <x:v>0</x:v>
      </x:c>
    </x:row>
    <x:row r="84">
      <x:c r="A84" t="str">
        <x:v>A-726cfa</x:v>
      </x:c>
      <x:c r="B84" t="str">
        <x:v>Company_82</x:v>
      </x:c>
      <x:c r="C84" t="str">
        <x:v>DevTools</x:v>
      </x:c>
      <x:c r="D84" t="str">
        <x:v>US</x:v>
      </x:c>
      <x:c r="E84" s="14" t="n">
        <x:v>45108</x:v>
      </x:c>
      <x:c r="F84" t="str">
        <x:v>2023-07</x:v>
      </x:c>
      <x:c r="G84" t="str">
        <x:v>partner</x:v>
      </x:c>
      <x:c r="H84" t="str">
        <x:v>Pro</x:v>
      </x:c>
      <x:c r="I84" t="n">
        <x:v>11</x:v>
      </x:c>
      <x:c r="J84" s="1" t="b">
        <x:v>0</x:v>
      </x:c>
      <x:c r="K84" t="str">
        <x:v>Active</x:v>
      </x:c>
      <x:c r="L84" t="n">
        <x:v>549</x:v>
      </x:c>
      <x:c r="M84" t="str"/>
      <x:c r="N84" t="n">
        <x:v>1</x:v>
      </x:c>
      <x:c r="O84" t="n">
        <x:v>19</x:v>
      </x:c>
      <x:c r="P84" s="16" t="n">
        <x:v>34243</x:v>
      </x:c>
      <x:c r="Q84" t="n">
        <x:v>2</x:v>
      </x:c>
      <x:c r="R84" t="n">
        <x:v>0</x:v>
      </x:c>
      <x:c r="S84" t="n">
        <x:v>993</x:v>
      </x:c>
      <x:c r="T84" s="18" t="n">
        <x:v>78.32944444444445</x:v>
      </x:c>
      <x:c r="U84" t="n">
        <x:v>45</x:v>
      </x:c>
      <x:c r="V84" t="n">
        <x:v>40</x:v>
      </x:c>
      <x:c r="W84" t="n">
        <x:v>3</x:v>
      </x:c>
      <x:c r="X84" s="18" t="n">
        <x:v>35.666666666666664</x:v>
      </x:c>
      <x:c r="Y84" s="18" t="n">
        <x:v>128.33333333333334</x:v>
      </x:c>
      <x:c r="Z84" s="18" t="n">
        <x:v>4</x:v>
      </x:c>
      <x:c r="AA84" t="n">
        <x:v>0</x:v>
      </x:c>
    </x:row>
    <x:row r="85">
      <x:c r="A85" t="str">
        <x:v>A-c43359</x:v>
      </x:c>
      <x:c r="B85" t="str">
        <x:v>Company_83</x:v>
      </x:c>
      <x:c r="C85" t="str">
        <x:v>FinTech</x:v>
      </x:c>
      <x:c r="D85" t="str">
        <x:v>US</x:v>
      </x:c>
      <x:c r="E85" s="14" t="n">
        <x:v>45612</x:v>
      </x:c>
      <x:c r="F85" t="str">
        <x:v>2024-11</x:v>
      </x:c>
      <x:c r="G85" t="str">
        <x:v>organic</x:v>
      </x:c>
      <x:c r="H85" t="str">
        <x:v>Pro</x:v>
      </x:c>
      <x:c r="I85" t="n">
        <x:v>38</x:v>
      </x:c>
      <x:c r="J85" s="1" t="b">
        <x:v>0</x:v>
      </x:c>
      <x:c r="K85" t="str">
        <x:v>Active</x:v>
      </x:c>
      <x:c r="L85" t="n">
        <x:v>45</x:v>
      </x:c>
      <x:c r="M85" t="str"/>
      <x:c r="N85" t="n">
        <x:v>2</x:v>
      </x:c>
      <x:c r="O85" t="n">
        <x:v>8</x:v>
      </x:c>
      <x:c r="P85" s="16" t="n">
        <x:v>10868</x:v>
      </x:c>
      <x:c r="Q85" t="n">
        <x:v>2</x:v>
      </x:c>
      <x:c r="R85" t="n">
        <x:v>1</x:v>
      </x:c>
      <x:c r="S85" t="n">
        <x:v>461</x:v>
      </x:c>
      <x:c r="T85" s="18" t="n">
        <x:v>40.8475</x:v>
      </x:c>
      <x:c r="U85" t="n">
        <x:v>32</x:v>
      </x:c>
      <x:c r="V85" t="n">
        <x:v>28</x:v>
      </x:c>
      <x:c r="W85" t="n">
        <x:v>3</x:v>
      </x:c>
      <x:c r="X85" s="18" t="n">
        <x:v>26.666666666666668</x:v>
      </x:c>
      <x:c r="Y85" s="18" t="n">
        <x:v>107.33333333333333</x:v>
      </x:c>
      <x:c r="Z85" s="18" t="n">
        <x:v>4</x:v>
      </x:c>
      <x:c r="AA85" t="n">
        <x:v>0</x:v>
      </x:c>
    </x:row>
    <x:row r="86">
      <x:c r="A86" t="str">
        <x:v>A-271f46</x:v>
      </x:c>
      <x:c r="B86" t="str">
        <x:v>Company_84</x:v>
      </x:c>
      <x:c r="C86" t="str">
        <x:v>DevTools</x:v>
      </x:c>
      <x:c r="D86" t="str">
        <x:v>US</x:v>
      </x:c>
      <x:c r="E86" s="14" t="n">
        <x:v>44966</x:v>
      </x:c>
      <x:c r="F86" t="str">
        <x:v>2023-02</x:v>
      </x:c>
      <x:c r="G86" t="str">
        <x:v>event</x:v>
      </x:c>
      <x:c r="H86" t="str">
        <x:v>Pro</x:v>
      </x:c>
      <x:c r="I86" t="n">
        <x:v>38</x:v>
      </x:c>
      <x:c r="J86" s="1" t="b">
        <x:v>0</x:v>
      </x:c>
      <x:c r="K86" t="str">
        <x:v>Churned</x:v>
      </x:c>
      <x:c r="L86" t="n">
        <x:v>547</x:v>
      </x:c>
      <x:c r="M86" t="str">
        <x:v>features</x:v>
      </x:c>
      <x:c r="N86" t="n">
        <x:v>2</x:v>
      </x:c>
      <x:c r="O86" t="n">
        <x:v>8</x:v>
      </x:c>
      <x:c r="P86" s="16" t="n">
        <x:v>19604</x:v>
      </x:c>
      <x:c r="Q86" t="n">
        <x:v>0</x:v>
      </x:c>
      <x:c r="R86" t="n">
        <x:v>0</x:v>
      </x:c>
      <x:c r="S86" t="n">
        <x:v>373</x:v>
      </x:c>
      <x:c r="T86" s="18" t="n">
        <x:v>31.823055555555555</x:v>
      </x:c>
      <x:c r="U86" t="n">
        <x:v>16</x:v>
      </x:c>
      <x:c r="V86" t="n">
        <x:v>25</x:v>
      </x:c>
      <x:c r="W86" t="n">
        <x:v>1</x:v>
      </x:c>
      <x:c r="X86" s="18" t="n">
        <x:v>36</x:v>
      </x:c>
      <x:c r="Y86" s="18" t="n">
        <x:v>79</x:v>
      </x:c>
      <x:c r="Z86" s="18"/>
      <x:c r="AA86" t="n">
        <x:v>0</x:v>
      </x:c>
    </x:row>
    <x:row r="87">
      <x:c r="A87" t="str">
        <x:v>A-157070</x:v>
      </x:c>
      <x:c r="B87" t="str">
        <x:v>Company_85</x:v>
      </x:c>
      <x:c r="C87" t="str">
        <x:v>FinTech</x:v>
      </x:c>
      <x:c r="D87" t="str">
        <x:v>US</x:v>
      </x:c>
      <x:c r="E87" s="14" t="n">
        <x:v>45239</x:v>
      </x:c>
      <x:c r="F87" t="str">
        <x:v>2023-11</x:v>
      </x:c>
      <x:c r="G87" t="str">
        <x:v>ads</x:v>
      </x:c>
      <x:c r="H87" t="str">
        <x:v>Pro</x:v>
      </x:c>
      <x:c r="I87" t="n">
        <x:v>16</x:v>
      </x:c>
      <x:c r="J87" s="1" t="b">
        <x:v>0</x:v>
      </x:c>
      <x:c r="K87" t="str">
        <x:v>Active</x:v>
      </x:c>
      <x:c r="L87" t="n">
        <x:v>418</x:v>
      </x:c>
      <x:c r="M87" t="str"/>
      <x:c r="N87" t="n">
        <x:v>2</x:v>
      </x:c>
      <x:c r="O87" t="n">
        <x:v>16</x:v>
      </x:c>
      <x:c r="P87" s="16" t="n">
        <x:v>22395</x:v>
      </x:c>
      <x:c r="Q87" t="n">
        <x:v>2</x:v>
      </x:c>
      <x:c r="R87" t="n">
        <x:v>1</x:v>
      </x:c>
      <x:c r="S87" t="n">
        <x:v>696</x:v>
      </x:c>
      <x:c r="T87" s="18" t="n">
        <x:v>51.92444444444445</x:v>
      </x:c>
      <x:c r="U87" t="n">
        <x:v>26</x:v>
      </x:c>
      <x:c r="V87" t="n">
        <x:v>37</x:v>
      </x:c>
      <x:c r="W87" t="n">
        <x:v>3</x:v>
      </x:c>
      <x:c r="X87" s="18" t="n">
        <x:v>42.333333333333336</x:v>
      </x:c>
      <x:c r="Y87" s="18" t="n">
        <x:v>118</x:v>
      </x:c>
      <x:c r="Z87" s="18" t="n">
        <x:v>3</x:v>
      </x:c>
      <x:c r="AA87" t="n">
        <x:v>1</x:v>
      </x:c>
    </x:row>
    <x:row r="88">
      <x:c r="A88" t="str">
        <x:v>A-40a557</x:v>
      </x:c>
      <x:c r="B88" t="str">
        <x:v>Company_86</x:v>
      </x:c>
      <x:c r="C88" t="str">
        <x:v>Cybersecurity</x:v>
      </x:c>
      <x:c r="D88" t="str">
        <x:v>AU</x:v>
      </x:c>
      <x:c r="E88" s="14" t="n">
        <x:v>45263</x:v>
      </x:c>
      <x:c r="F88" t="str">
        <x:v>2023-12</x:v>
      </x:c>
      <x:c r="G88" t="str">
        <x:v>partner</x:v>
      </x:c>
      <x:c r="H88" t="str">
        <x:v>Pro</x:v>
      </x:c>
      <x:c r="I88" t="n">
        <x:v>16</x:v>
      </x:c>
      <x:c r="J88" s="1" t="b">
        <x:v>1</x:v>
      </x:c>
      <x:c r="K88" t="str">
        <x:v>Active</x:v>
      </x:c>
      <x:c r="L88" t="n">
        <x:v>394</x:v>
      </x:c>
      <x:c r="M88" t="str"/>
      <x:c r="N88" t="n">
        <x:v>1</x:v>
      </x:c>
      <x:c r="O88" t="n">
        <x:v>9</x:v>
      </x:c>
      <x:c r="P88" s="16" t="n">
        <x:v>20140</x:v>
      </x:c>
      <x:c r="Q88" t="n">
        <x:v>1</x:v>
      </x:c>
      <x:c r="R88" t="n">
        <x:v>0</x:v>
      </x:c>
      <x:c r="S88" t="n">
        <x:v>402</x:v>
      </x:c>
      <x:c r="T88" s="18" t="n">
        <x:v>31.726944444444445</x:v>
      </x:c>
      <x:c r="U88" t="n">
        <x:v>17</x:v>
      </x:c>
      <x:c r="V88" t="n">
        <x:v>25</x:v>
      </x:c>
      <x:c r="W88" t="n">
        <x:v>7</x:v>
      </x:c>
      <x:c r="X88" s="18" t="n">
        <x:v>30.571428571428573</x:v>
      </x:c>
      <x:c r="Y88" s="18" t="n">
        <x:v>94.71428571428571</x:v>
      </x:c>
      <x:c r="Z88" s="18" t="n">
        <x:v>3.6666666666666665</x:v>
      </x:c>
      <x:c r="AA88" t="n">
        <x:v>0</x:v>
      </x:c>
    </x:row>
    <x:row r="89">
      <x:c r="A89" t="str">
        <x:v>A-66224b</x:v>
      </x:c>
      <x:c r="B89" t="str">
        <x:v>Company_87</x:v>
      </x:c>
      <x:c r="C89" t="str">
        <x:v>HealthTech</x:v>
      </x:c>
      <x:c r="D89" t="str">
        <x:v>US</x:v>
      </x:c>
      <x:c r="E89" s="14" t="n">
        <x:v>45583</x:v>
      </x:c>
      <x:c r="F89" t="str">
        <x:v>2024-10</x:v>
      </x:c>
      <x:c r="G89" t="str">
        <x:v>other</x:v>
      </x:c>
      <x:c r="H89" t="str">
        <x:v>Pro</x:v>
      </x:c>
      <x:c r="I89" t="n">
        <x:v>92</x:v>
      </x:c>
      <x:c r="J89" s="1" t="b">
        <x:v>1</x:v>
      </x:c>
      <x:c r="K89" t="str">
        <x:v>Active</x:v>
      </x:c>
      <x:c r="L89" t="n">
        <x:v>74</x:v>
      </x:c>
      <x:c r="M89" t="str"/>
      <x:c r="N89" t="n">
        <x:v>0</x:v>
      </x:c>
      <x:c r="O89" t="n">
        <x:v>12</x:v>
      </x:c>
      <x:c r="P89" s="16" t="n">
        <x:v>50876</x:v>
      </x:c>
      <x:c r="Q89" t="n">
        <x:v>0</x:v>
      </x:c>
      <x:c r="R89" t="n">
        <x:v>0</x:v>
      </x:c>
      <x:c r="S89" t="n">
        <x:v>626</x:v>
      </x:c>
      <x:c r="T89" s="18" t="n">
        <x:v>51.4525</x:v>
      </x:c>
      <x:c r="U89" t="n">
        <x:v>29</x:v>
      </x:c>
      <x:c r="V89" t="n">
        <x:v>34</x:v>
      </x:c>
      <x:c r="W89" t="n">
        <x:v>6</x:v>
      </x:c>
      <x:c r="X89" s="18" t="n">
        <x:v>39.833333333333336</x:v>
      </x:c>
      <x:c r="Y89" s="18" t="n">
        <x:v>82.5</x:v>
      </x:c>
      <x:c r="Z89" s="18" t="n">
        <x:v>3.5</x:v>
      </x:c>
      <x:c r="AA89" t="n">
        <x:v>0</x:v>
      </x:c>
    </x:row>
    <x:row r="90">
      <x:c r="A90" t="str">
        <x:v>A-91e948</x:v>
      </x:c>
      <x:c r="B90" t="str">
        <x:v>Company_88</x:v>
      </x:c>
      <x:c r="C90" t="str">
        <x:v>EdTech</x:v>
      </x:c>
      <x:c r="D90" t="str">
        <x:v>AU</x:v>
      </x:c>
      <x:c r="E90" s="14" t="n">
        <x:v>44955</x:v>
      </x:c>
      <x:c r="F90" t="str">
        <x:v>2023-01</x:v>
      </x:c>
      <x:c r="G90" t="str">
        <x:v>partner</x:v>
      </x:c>
      <x:c r="H90" t="str">
        <x:v>Basic</x:v>
      </x:c>
      <x:c r="I90" t="n">
        <x:v>41</x:v>
      </x:c>
      <x:c r="J90" s="1" t="b">
        <x:v>0</x:v>
      </x:c>
      <x:c r="K90" t="str">
        <x:v>Active</x:v>
      </x:c>
      <x:c r="L90" t="n">
        <x:v>702</x:v>
      </x:c>
      <x:c r="M90" t="str"/>
      <x:c r="N90" t="n">
        <x:v>0</x:v>
      </x:c>
      <x:c r="O90" t="n">
        <x:v>7</x:v>
      </x:c>
      <x:c r="P90" s="16" t="n">
        <x:v>21894</x:v>
      </x:c>
      <x:c r="Q90" t="n">
        <x:v>2</x:v>
      </x:c>
      <x:c r="R90" t="n">
        <x:v>0</x:v>
      </x:c>
      <x:c r="S90" t="n">
        <x:v>404</x:v>
      </x:c>
      <x:c r="T90" s="18" t="n">
        <x:v>32.016666666666666</x:v>
      </x:c>
      <x:c r="U90" t="n">
        <x:v>16</x:v>
      </x:c>
      <x:c r="V90" t="n">
        <x:v>23</x:v>
      </x:c>
      <x:c r="W90" t="n">
        <x:v>0</x:v>
      </x:c>
      <x:c r="X90" s="18"/>
      <x:c r="Y90" s="18"/>
      <x:c r="Z90" s="18"/>
      <x:c r="AA90" t="n">
        <x:v>0</x:v>
      </x:c>
    </x:row>
    <x:row r="91">
      <x:c r="A91" t="str">
        <x:v>A-104f1a</x:v>
      </x:c>
      <x:c r="B91" t="str">
        <x:v>Company_89</x:v>
      </x:c>
      <x:c r="C91" t="str">
        <x:v>Cybersecurity</x:v>
      </x:c>
      <x:c r="D91" t="str">
        <x:v>US</x:v>
      </x:c>
      <x:c r="E91" s="14" t="n">
        <x:v>45521</x:v>
      </x:c>
      <x:c r="F91" t="str">
        <x:v>2024-08</x:v>
      </x:c>
      <x:c r="G91" t="str">
        <x:v>other</x:v>
      </x:c>
      <x:c r="H91" t="str">
        <x:v>Pro</x:v>
      </x:c>
      <x:c r="I91" t="n">
        <x:v>24</x:v>
      </x:c>
      <x:c r="J91" s="1" t="b">
        <x:v>0</x:v>
      </x:c>
      <x:c r="K91" t="str">
        <x:v>Active</x:v>
      </x:c>
      <x:c r="L91" t="n">
        <x:v>136</x:v>
      </x:c>
      <x:c r="M91" t="str"/>
      <x:c r="N91" t="n">
        <x:v>3</x:v>
      </x:c>
      <x:c r="O91" t="n">
        <x:v>8</x:v>
      </x:c>
      <x:c r="P91" s="16" t="n">
        <x:v>6590</x:v>
      </x:c>
      <x:c r="Q91" t="n">
        <x:v>0</x:v>
      </x:c>
      <x:c r="R91" t="n">
        <x:v>0</x:v>
      </x:c>
      <x:c r="S91" t="n">
        <x:v>438</x:v>
      </x:c>
      <x:c r="T91" s="18" t="n">
        <x:v>43.596944444444446</x:v>
      </x:c>
      <x:c r="U91" t="n">
        <x:v>22</x:v>
      </x:c>
      <x:c r="V91" t="n">
        <x:v>28</x:v>
      </x:c>
      <x:c r="W91" t="n">
        <x:v>5</x:v>
      </x:c>
      <x:c r="X91" s="18" t="n">
        <x:v>33.2</x:v>
      </x:c>
      <x:c r="Y91" s="18" t="n">
        <x:v>50.4</x:v>
      </x:c>
      <x:c r="Z91" s="18" t="n">
        <x:v>3.75</x:v>
      </x:c>
      <x:c r="AA91" t="n">
        <x:v>1</x:v>
      </x:c>
    </x:row>
    <x:row r="92">
      <x:c r="A92" t="str">
        <x:v>A-7988d1</x:v>
      </x:c>
      <x:c r="B92" t="str">
        <x:v>Company_90</x:v>
      </x:c>
      <x:c r="C92" t="str">
        <x:v>Cybersecurity</x:v>
      </x:c>
      <x:c r="D92" t="str">
        <x:v>US</x:v>
      </x:c>
      <x:c r="E92" s="14" t="n">
        <x:v>45280</x:v>
      </x:c>
      <x:c r="F92" t="str">
        <x:v>2023-12</x:v>
      </x:c>
      <x:c r="G92" t="str">
        <x:v>other</x:v>
      </x:c>
      <x:c r="H92" t="str">
        <x:v>Basic</x:v>
      </x:c>
      <x:c r="I92" t="n">
        <x:v>33</x:v>
      </x:c>
      <x:c r="J92" s="1" t="b">
        <x:v>0</x:v>
      </x:c>
      <x:c r="K92" t="str">
        <x:v>Active</x:v>
      </x:c>
      <x:c r="L92" t="n">
        <x:v>377</x:v>
      </x:c>
      <x:c r="M92" t="str"/>
      <x:c r="N92" t="n">
        <x:v>3</x:v>
      </x:c>
      <x:c r="O92" t="n">
        <x:v>9</x:v>
      </x:c>
      <x:c r="P92" s="16" t="n">
        <x:v>10065</x:v>
      </x:c>
      <x:c r="Q92" t="n">
        <x:v>0</x:v>
      </x:c>
      <x:c r="R92" t="n">
        <x:v>0</x:v>
      </x:c>
      <x:c r="S92" t="n">
        <x:v>449</x:v>
      </x:c>
      <x:c r="T92" s="18" t="n">
        <x:v>38.40694444444444</x:v>
      </x:c>
      <x:c r="U92" t="n">
        <x:v>28</x:v>
      </x:c>
      <x:c r="V92" t="n">
        <x:v>31</x:v>
      </x:c>
      <x:c r="W92" t="n">
        <x:v>3</x:v>
      </x:c>
      <x:c r="X92" s="18" t="n">
        <x:v>35.333333333333336</x:v>
      </x:c>
      <x:c r="Y92" s="18" t="n">
        <x:v>65.33333333333333</x:v>
      </x:c>
      <x:c r="Z92" s="18" t="n">
        <x:v>4.333333333333333</x:v>
      </x:c>
      <x:c r="AA92" t="n">
        <x:v>0</x:v>
      </x:c>
    </x:row>
    <x:row r="93">
      <x:c r="A93" t="str">
        <x:v>A-faa28c</x:v>
      </x:c>
      <x:c r="B93" t="str">
        <x:v>Company_91</x:v>
      </x:c>
      <x:c r="C93" t="str">
        <x:v>HealthTech</x:v>
      </x:c>
      <x:c r="D93" t="str">
        <x:v>US</x:v>
      </x:c>
      <x:c r="E93" s="14" t="n">
        <x:v>45321</x:v>
      </x:c>
      <x:c r="F93" t="str">
        <x:v>2024-01</x:v>
      </x:c>
      <x:c r="G93" t="str">
        <x:v>organic</x:v>
      </x:c>
      <x:c r="H93" t="str">
        <x:v>Enterprise</x:v>
      </x:c>
      <x:c r="I93" t="n">
        <x:v>48</x:v>
      </x:c>
      <x:c r="J93" s="1" t="b">
        <x:v>0</x:v>
      </x:c>
      <x:c r="K93" t="str">
        <x:v>Active</x:v>
      </x:c>
      <x:c r="L93" t="n">
        <x:v>336</x:v>
      </x:c>
      <x:c r="M93" t="str"/>
      <x:c r="N93" t="n">
        <x:v>2</x:v>
      </x:c>
      <x:c r="O93" t="n">
        <x:v>14</x:v>
      </x:c>
      <x:c r="P93" s="16" t="n">
        <x:v>39300</x:v>
      </x:c>
      <x:c r="Q93" t="n">
        <x:v>3</x:v>
      </x:c>
      <x:c r="R93" t="n">
        <x:v>0</x:v>
      </x:c>
      <x:c r="S93" t="n">
        <x:v>585</x:v>
      </x:c>
      <x:c r="T93" s="18" t="n">
        <x:v>45.00194444444445</x:v>
      </x:c>
      <x:c r="U93" t="n">
        <x:v>24</x:v>
      </x:c>
      <x:c r="V93" t="n">
        <x:v>25</x:v>
      </x:c>
      <x:c r="W93" t="n">
        <x:v>4</x:v>
      </x:c>
      <x:c r="X93" s="18" t="n">
        <x:v>52.25</x:v>
      </x:c>
      <x:c r="Y93" s="18" t="n">
        <x:v>115.5</x:v>
      </x:c>
      <x:c r="Z93" s="18" t="n">
        <x:v>4.666666666666667</x:v>
      </x:c>
      <x:c r="AA93" t="n">
        <x:v>1</x:v>
      </x:c>
    </x:row>
    <x:row r="94">
      <x:c r="A94" t="str">
        <x:v>A-f25509</x:v>
      </x:c>
      <x:c r="B94" t="str">
        <x:v>Company_92</x:v>
      </x:c>
      <x:c r="C94" t="str">
        <x:v>EdTech</x:v>
      </x:c>
      <x:c r="D94" t="str">
        <x:v>US</x:v>
      </x:c>
      <x:c r="E94" s="14" t="n">
        <x:v>45373</x:v>
      </x:c>
      <x:c r="F94" t="str">
        <x:v>2024-03</x:v>
      </x:c>
      <x:c r="G94" t="str">
        <x:v>other</x:v>
      </x:c>
      <x:c r="H94" t="str">
        <x:v>Enterprise</x:v>
      </x:c>
      <x:c r="I94" t="n">
        <x:v>32</x:v>
      </x:c>
      <x:c r="J94" s="1" t="b">
        <x:v>0</x:v>
      </x:c>
      <x:c r="K94" t="str">
        <x:v>Active</x:v>
      </x:c>
      <x:c r="L94" t="n">
        <x:v>284</x:v>
      </x:c>
      <x:c r="M94" t="str"/>
      <x:c r="N94" t="n">
        <x:v>3</x:v>
      </x:c>
      <x:c r="O94" t="n">
        <x:v>5</x:v>
      </x:c>
      <x:c r="P94" s="16" t="n">
        <x:v>16122</x:v>
      </x:c>
      <x:c r="Q94" t="n">
        <x:v>0</x:v>
      </x:c>
      <x:c r="R94" t="n">
        <x:v>1</x:v>
      </x:c>
      <x:c r="S94" t="n">
        <x:v>229</x:v>
      </x:c>
      <x:c r="T94" s="18" t="n">
        <x:v>20.44527777777778</x:v>
      </x:c>
      <x:c r="U94" t="n">
        <x:v>15</x:v>
      </x:c>
      <x:c r="V94" t="n">
        <x:v>17</x:v>
      </x:c>
      <x:c r="W94" t="n">
        <x:v>6</x:v>
      </x:c>
      <x:c r="X94" s="18" t="n">
        <x:v>42.666666666666664</x:v>
      </x:c>
      <x:c r="Y94" s="18" t="n">
        <x:v>116</x:v>
      </x:c>
      <x:c r="Z94" s="18" t="n">
        <x:v>4.666666666666667</x:v>
      </x:c>
      <x:c r="AA94" t="n">
        <x:v>0</x:v>
      </x:c>
    </x:row>
    <x:row r="95">
      <x:c r="A95" t="str">
        <x:v>A-3a7284</x:v>
      </x:c>
      <x:c r="B95" t="str">
        <x:v>Company_93</x:v>
      </x:c>
      <x:c r="C95" t="str">
        <x:v>FinTech</x:v>
      </x:c>
      <x:c r="D95" t="str">
        <x:v>US</x:v>
      </x:c>
      <x:c r="E95" s="14" t="n">
        <x:v>45613</x:v>
      </x:c>
      <x:c r="F95" t="str">
        <x:v>2024-11</x:v>
      </x:c>
      <x:c r="G95" t="str">
        <x:v>organic</x:v>
      </x:c>
      <x:c r="H95" t="str">
        <x:v>Enterprise</x:v>
      </x:c>
      <x:c r="I95" t="n">
        <x:v>31</x:v>
      </x:c>
      <x:c r="J95" s="1" t="b">
        <x:v>0</x:v>
      </x:c>
      <x:c r="K95" t="str">
        <x:v>Active</x:v>
      </x:c>
      <x:c r="L95" t="n">
        <x:v>44</x:v>
      </x:c>
      <x:c r="M95" t="str"/>
      <x:c r="N95" t="n">
        <x:v>1</x:v>
      </x:c>
      <x:c r="O95" t="n">
        <x:v>12</x:v>
      </x:c>
      <x:c r="P95" s="16" t="n">
        <x:v>32515</x:v>
      </x:c>
      <x:c r="Q95" t="n">
        <x:v>1</x:v>
      </x:c>
      <x:c r="R95" t="n">
        <x:v>2</x:v>
      </x:c>
      <x:c r="S95" t="n">
        <x:v>609</x:v>
      </x:c>
      <x:c r="T95" s="18" t="n">
        <x:v>53.211666666666666</x:v>
      </x:c>
      <x:c r="U95" t="n">
        <x:v>30</x:v>
      </x:c>
      <x:c r="V95" t="n">
        <x:v>33</x:v>
      </x:c>
      <x:c r="W95" t="n">
        <x:v>3</x:v>
      </x:c>
      <x:c r="X95" s="18" t="n">
        <x:v>56.333333333333336</x:v>
      </x:c>
      <x:c r="Y95" s="18" t="n">
        <x:v>104.33333333333333</x:v>
      </x:c>
      <x:c r="Z95" s="18" t="n">
        <x:v>3.5</x:v>
      </x:c>
      <x:c r="AA95" t="n">
        <x:v>0</x:v>
      </x:c>
    </x:row>
    <x:row r="96">
      <x:c r="A96" t="str">
        <x:v>A-3a5ad8</x:v>
      </x:c>
      <x:c r="B96" t="str">
        <x:v>Company_94</x:v>
      </x:c>
      <x:c r="C96" t="str">
        <x:v>HealthTech</x:v>
      </x:c>
      <x:c r="D96" t="str">
        <x:v>US</x:v>
      </x:c>
      <x:c r="E96" s="14" t="n">
        <x:v>45265</x:v>
      </x:c>
      <x:c r="F96" t="str">
        <x:v>2023-12</x:v>
      </x:c>
      <x:c r="G96" t="str">
        <x:v>organic</x:v>
      </x:c>
      <x:c r="H96" t="str">
        <x:v>Enterprise</x:v>
      </x:c>
      <x:c r="I96" t="n">
        <x:v>9</x:v>
      </x:c>
      <x:c r="J96" s="1" t="b">
        <x:v>1</x:v>
      </x:c>
      <x:c r="K96" t="str">
        <x:v>Active</x:v>
      </x:c>
      <x:c r="L96" t="n">
        <x:v>392</x:v>
      </x:c>
      <x:c r="M96" t="str"/>
      <x:c r="N96" t="n">
        <x:v>0</x:v>
      </x:c>
      <x:c r="O96" t="n">
        <x:v>13</x:v>
      </x:c>
      <x:c r="P96" s="16" t="n">
        <x:v>28701</x:v>
      </x:c>
      <x:c r="Q96" t="n">
        <x:v>1</x:v>
      </x:c>
      <x:c r="R96" t="n">
        <x:v>1</x:v>
      </x:c>
      <x:c r="S96" t="n">
        <x:v>506</x:v>
      </x:c>
      <x:c r="T96" s="18" t="n">
        <x:v>35.52166666666667</x:v>
      </x:c>
      <x:c r="U96" t="n">
        <x:v>23</x:v>
      </x:c>
      <x:c r="V96" t="n">
        <x:v>27</x:v>
      </x:c>
      <x:c r="W96" t="n">
        <x:v>4</x:v>
      </x:c>
      <x:c r="X96" s="18" t="n">
        <x:v>44.75</x:v>
      </x:c>
      <x:c r="Y96" s="18" t="n">
        <x:v>53.5</x:v>
      </x:c>
      <x:c r="Z96" s="18" t="n">
        <x:v>4.5</x:v>
      </x:c>
      <x:c r="AA96" t="n">
        <x:v>0</x:v>
      </x:c>
    </x:row>
    <x:row r="97">
      <x:c r="A97" t="str">
        <x:v>A-65a46c</x:v>
      </x:c>
      <x:c r="B97" t="str">
        <x:v>Company_95</x:v>
      </x:c>
      <x:c r="C97" t="str">
        <x:v>HealthTech</x:v>
      </x:c>
      <x:c r="D97" t="str">
        <x:v>US</x:v>
      </x:c>
      <x:c r="E97" s="14" t="n">
        <x:v>45234</x:v>
      </x:c>
      <x:c r="F97" t="str">
        <x:v>2023-11</x:v>
      </x:c>
      <x:c r="G97" t="str">
        <x:v>event</x:v>
      </x:c>
      <x:c r="H97" t="str">
        <x:v>Pro</x:v>
      </x:c>
      <x:c r="I97" t="n">
        <x:v>1</x:v>
      </x:c>
      <x:c r="J97" s="1" t="b">
        <x:v>0</x:v>
      </x:c>
      <x:c r="K97" t="str">
        <x:v>Active</x:v>
      </x:c>
      <x:c r="L97" t="n">
        <x:v>423</x:v>
      </x:c>
      <x:c r="M97" t="str"/>
      <x:c r="N97" t="n">
        <x:v>0</x:v>
      </x:c>
      <x:c r="O97" t="n">
        <x:v>8</x:v>
      </x:c>
      <x:c r="P97" s="16" t="n">
        <x:v>22675</x:v>
      </x:c>
      <x:c r="Q97" t="n">
        <x:v>2</x:v>
      </x:c>
      <x:c r="R97" t="n">
        <x:v>0</x:v>
      </x:c>
      <x:c r="S97" t="n">
        <x:v>370</x:v>
      </x:c>
      <x:c r="T97" s="18" t="n">
        <x:v>32.00527777777778</x:v>
      </x:c>
      <x:c r="U97" t="n">
        <x:v>21</x:v>
      </x:c>
      <x:c r="V97" t="n">
        <x:v>24</x:v>
      </x:c>
      <x:c r="W97" t="n">
        <x:v>8</x:v>
      </x:c>
      <x:c r="X97" s="18" t="n">
        <x:v>45.125</x:v>
      </x:c>
      <x:c r="Y97" s="18" t="n">
        <x:v>91.125</x:v>
      </x:c>
      <x:c r="Z97" s="18" t="n">
        <x:v>4</x:v>
      </x:c>
      <x:c r="AA97" t="n">
        <x:v>0</x:v>
      </x:c>
    </x:row>
    <x:row r="98">
      <x:c r="A98" t="str">
        <x:v>A-8b25f2</x:v>
      </x:c>
      <x:c r="B98" t="str">
        <x:v>Company_96</x:v>
      </x:c>
      <x:c r="C98" t="str">
        <x:v>Cybersecurity</x:v>
      </x:c>
      <x:c r="D98" t="str">
        <x:v>US</x:v>
      </x:c>
      <x:c r="E98" s="14" t="n">
        <x:v>45339</x:v>
      </x:c>
      <x:c r="F98" t="str">
        <x:v>2024-02</x:v>
      </x:c>
      <x:c r="G98" t="str">
        <x:v>ads</x:v>
      </x:c>
      <x:c r="H98" t="str">
        <x:v>Pro</x:v>
      </x:c>
      <x:c r="I98" t="n">
        <x:v>6</x:v>
      </x:c>
      <x:c r="J98" s="1" t="b">
        <x:v>0</x:v>
      </x:c>
      <x:c r="K98" t="str">
        <x:v>Churned</x:v>
      </x:c>
      <x:c r="L98" t="n">
        <x:v>318</x:v>
      </x:c>
      <x:c r="M98" t="str"/>
      <x:c r="N98" t="n">
        <x:v>0</x:v>
      </x:c>
      <x:c r="O98" t="n">
        <x:v>13</x:v>
      </x:c>
      <x:c r="P98" s="16" t="n">
        <x:v>12965</x:v>
      </x:c>
      <x:c r="Q98" t="n">
        <x:v>1</x:v>
      </x:c>
      <x:c r="R98" t="n">
        <x:v>2</x:v>
      </x:c>
      <x:c r="S98" t="n">
        <x:v>565</x:v>
      </x:c>
      <x:c r="T98" s="18" t="n">
        <x:v>44.27611111111111</x:v>
      </x:c>
      <x:c r="U98" t="n">
        <x:v>20</x:v>
      </x:c>
      <x:c r="V98" t="n">
        <x:v>29</x:v>
      </x:c>
      <x:c r="W98" t="n">
        <x:v>2</x:v>
      </x:c>
      <x:c r="X98" s="18" t="n">
        <x:v>35.5</x:v>
      </x:c>
      <x:c r="Y98" s="18" t="n">
        <x:v>50.5</x:v>
      </x:c>
      <x:c r="Z98" s="18" t="n">
        <x:v>4</x:v>
      </x:c>
      <x:c r="AA98" t="n">
        <x:v>0</x:v>
      </x:c>
    </x:row>
    <x:row r="99">
      <x:c r="A99" t="str">
        <x:v>A-fabe19</x:v>
      </x:c>
      <x:c r="B99" t="str">
        <x:v>Company_97</x:v>
      </x:c>
      <x:c r="C99" t="str">
        <x:v>DevTools</x:v>
      </x:c>
      <x:c r="D99" t="str">
        <x:v>UK</x:v>
      </x:c>
      <x:c r="E99" s="14" t="n">
        <x:v>45607</x:v>
      </x:c>
      <x:c r="F99" t="str">
        <x:v>2024-11</x:v>
      </x:c>
      <x:c r="G99" t="str">
        <x:v>ads</x:v>
      </x:c>
      <x:c r="H99" t="str">
        <x:v>Enterprise</x:v>
      </x:c>
      <x:c r="I99" t="n">
        <x:v>1</x:v>
      </x:c>
      <x:c r="J99" s="1" t="b">
        <x:v>0</x:v>
      </x:c>
      <x:c r="K99" t="str">
        <x:v>Active</x:v>
      </x:c>
      <x:c r="L99" t="n">
        <x:v>50</x:v>
      </x:c>
      <x:c r="M99" t="str"/>
      <x:c r="N99" t="n">
        <x:v>0</x:v>
      </x:c>
      <x:c r="O99" t="n">
        <x:v>7</x:v>
      </x:c>
      <x:c r="P99" s="16" t="n">
        <x:v>9552</x:v>
      </x:c>
      <x:c r="Q99" t="n">
        <x:v>2</x:v>
      </x:c>
      <x:c r="R99" t="n">
        <x:v>0</x:v>
      </x:c>
      <x:c r="S99" t="n">
        <x:v>337</x:v>
      </x:c>
      <x:c r="T99" s="18" t="n">
        <x:v>31.379444444444445</x:v>
      </x:c>
      <x:c r="U99" t="n">
        <x:v>16</x:v>
      </x:c>
      <x:c r="V99" t="n">
        <x:v>20</x:v>
      </x:c>
      <x:c r="W99" t="n">
        <x:v>3</x:v>
      </x:c>
      <x:c r="X99" s="18" t="n">
        <x:v>40.666666666666664</x:v>
      </x:c>
      <x:c r="Y99" s="18" t="n">
        <x:v>38.333333333333336</x:v>
      </x:c>
      <x:c r="Z99" s="18" t="n">
        <x:v>4</x:v>
      </x:c>
      <x:c r="AA99" t="n">
        <x:v>0</x:v>
      </x:c>
    </x:row>
    <x:row r="100">
      <x:c r="A100" t="str">
        <x:v>A-adc1f3</x:v>
      </x:c>
      <x:c r="B100" t="str">
        <x:v>Company_98</x:v>
      </x:c>
      <x:c r="C100" t="str">
        <x:v>Cybersecurity</x:v>
      </x:c>
      <x:c r="D100" t="str">
        <x:v>US</x:v>
      </x:c>
      <x:c r="E100" s="14" t="n">
        <x:v>45509</x:v>
      </x:c>
      <x:c r="F100" t="str">
        <x:v>2024-08</x:v>
      </x:c>
      <x:c r="G100" t="str">
        <x:v>organic</x:v>
      </x:c>
      <x:c r="H100" t="str">
        <x:v>Pro</x:v>
      </x:c>
      <x:c r="I100" t="n">
        <x:v>2</x:v>
      </x:c>
      <x:c r="J100" s="1" t="b">
        <x:v>0</x:v>
      </x:c>
      <x:c r="K100" t="str">
        <x:v>Active</x:v>
      </x:c>
      <x:c r="L100" t="n">
        <x:v>148</x:v>
      </x:c>
      <x:c r="M100" t="str"/>
      <x:c r="N100" t="n">
        <x:v>0</x:v>
      </x:c>
      <x:c r="O100" t="n">
        <x:v>9</x:v>
      </x:c>
      <x:c r="P100" s="16" t="n">
        <x:v>16658</x:v>
      </x:c>
      <x:c r="Q100" t="n">
        <x:v>0</x:v>
      </x:c>
      <x:c r="R100" t="n">
        <x:v>0</x:v>
      </x:c>
      <x:c r="S100" t="n">
        <x:v>334</x:v>
      </x:c>
      <x:c r="T100" s="18" t="n">
        <x:v>33.37027777777778</x:v>
      </x:c>
      <x:c r="U100" t="n">
        <x:v>26</x:v>
      </x:c>
      <x:c r="V100" t="n">
        <x:v>24</x:v>
      </x:c>
      <x:c r="W100" t="n">
        <x:v>3</x:v>
      </x:c>
      <x:c r="X100" s="18" t="n">
        <x:v>47.333333333333336</x:v>
      </x:c>
      <x:c r="Y100" s="18" t="n">
        <x:v>65</x:v>
      </x:c>
      <x:c r="Z100" s="18" t="n">
        <x:v>3.5</x:v>
      </x:c>
      <x:c r="AA100" t="n">
        <x:v>0</x:v>
      </x:c>
    </x:row>
    <x:row r="101">
      <x:c r="A101" t="str">
        <x:v>A-503d5a</x:v>
      </x:c>
      <x:c r="B101" t="str">
        <x:v>Company_99</x:v>
      </x:c>
      <x:c r="C101" t="str">
        <x:v>FinTech</x:v>
      </x:c>
      <x:c r="D101" t="str">
        <x:v>US</x:v>
      </x:c>
      <x:c r="E101" s="14" t="n">
        <x:v>45220</x:v>
      </x:c>
      <x:c r="F101" t="str">
        <x:v>2023-10</x:v>
      </x:c>
      <x:c r="G101" t="str">
        <x:v>other</x:v>
      </x:c>
      <x:c r="H101" t="str">
        <x:v>Enterprise</x:v>
      </x:c>
      <x:c r="I101" t="n">
        <x:v>4</x:v>
      </x:c>
      <x:c r="J101" s="1" t="b">
        <x:v>0</x:v>
      </x:c>
      <x:c r="K101" t="str">
        <x:v>Churned</x:v>
      </x:c>
      <x:c r="L101" t="n">
        <x:v>437</x:v>
      </x:c>
      <x:c r="M101" t="str"/>
      <x:c r="N101" t="n">
        <x:v>0</x:v>
      </x:c>
      <x:c r="O101" t="n">
        <x:v>12</x:v>
      </x:c>
      <x:c r="P101" s="16" t="n">
        <x:v>17884</x:v>
      </x:c>
      <x:c r="Q101" t="n">
        <x:v>0</x:v>
      </x:c>
      <x:c r="R101" t="n">
        <x:v>1</x:v>
      </x:c>
      <x:c r="S101" t="n">
        <x:v>605</x:v>
      </x:c>
      <x:c r="T101" s="18" t="n">
        <x:v>58.768055555555556</x:v>
      </x:c>
      <x:c r="U101" t="n">
        <x:v>32</x:v>
      </x:c>
      <x:c r="V101" t="n">
        <x:v>34</x:v>
      </x:c>
      <x:c r="W101" t="n">
        <x:v>9</x:v>
      </x:c>
      <x:c r="X101" s="18" t="n">
        <x:v>36.55555555555556</x:v>
      </x:c>
      <x:c r="Y101" s="18" t="n">
        <x:v>81.77777777777777</x:v>
      </x:c>
      <x:c r="Z101" s="18" t="n">
        <x:v>4</x:v>
      </x:c>
      <x:c r="AA101" t="n">
        <x:v>0</x:v>
      </x:c>
    </x:row>
    <x:row r="102">
      <x:c r="A102" t="str">
        <x:v>A-fd7ad3</x:v>
      </x:c>
      <x:c r="B102" t="str">
        <x:v>Company_100</x:v>
      </x:c>
      <x:c r="C102" t="str">
        <x:v>Cybersecurity</x:v>
      </x:c>
      <x:c r="D102" t="str">
        <x:v>US</x:v>
      </x:c>
      <x:c r="E102" s="14" t="n">
        <x:v>45597</x:v>
      </x:c>
      <x:c r="F102" t="str">
        <x:v>2024-11</x:v>
      </x:c>
      <x:c r="G102" t="str">
        <x:v>event</x:v>
      </x:c>
      <x:c r="H102" t="str">
        <x:v>Enterprise</x:v>
      </x:c>
      <x:c r="I102" t="n">
        <x:v>1</x:v>
      </x:c>
      <x:c r="J102" s="1" t="b">
        <x:v>0</x:v>
      </x:c>
      <x:c r="K102" t="str">
        <x:v>Active</x:v>
      </x:c>
      <x:c r="L102" t="n">
        <x:v>60</x:v>
      </x:c>
      <x:c r="M102" t="str"/>
      <x:c r="N102" t="n">
        <x:v>4</x:v>
      </x:c>
      <x:c r="O102" t="n">
        <x:v>10</x:v>
      </x:c>
      <x:c r="P102" s="16" t="n">
        <x:v>904</x:v>
      </x:c>
      <x:c r="Q102" t="n">
        <x:v>2</x:v>
      </x:c>
      <x:c r="R102" t="n">
        <x:v>0</x:v>
      </x:c>
      <x:c r="S102" t="n">
        <x:v>567</x:v>
      </x:c>
      <x:c r="T102" s="18" t="n">
        <x:v>47.76583333333333</x:v>
      </x:c>
      <x:c r="U102" t="n">
        <x:v>42</x:v>
      </x:c>
      <x:c r="V102" t="n">
        <x:v>31</x:v>
      </x:c>
      <x:c r="W102" t="n">
        <x:v>8</x:v>
      </x:c>
      <x:c r="X102" s="18" t="n">
        <x:v>48.75</x:v>
      </x:c>
      <x:c r="Y102" s="18" t="n">
        <x:v>98.125</x:v>
      </x:c>
      <x:c r="Z102" s="18" t="n">
        <x:v>4.166666666666667</x:v>
      </x:c>
      <x:c r="AA102" t="n">
        <x:v>1</x:v>
      </x:c>
    </x:row>
    <x:row r="103">
      <x:c r="A103" t="str">
        <x:v>A-186a44</x:v>
      </x:c>
      <x:c r="B103" t="str">
        <x:v>Company_101</x:v>
      </x:c>
      <x:c r="C103" t="str">
        <x:v>HealthTech</x:v>
      </x:c>
      <x:c r="D103" t="str">
        <x:v>US</x:v>
      </x:c>
      <x:c r="E103" s="14" t="n">
        <x:v>45145</x:v>
      </x:c>
      <x:c r="F103" t="str">
        <x:v>2023-08</x:v>
      </x:c>
      <x:c r="G103" t="str">
        <x:v>ads</x:v>
      </x:c>
      <x:c r="H103" t="str">
        <x:v>Enterprise</x:v>
      </x:c>
      <x:c r="I103" t="n">
        <x:v>20</x:v>
      </x:c>
      <x:c r="J103" s="1" t="b">
        <x:v>0</x:v>
      </x:c>
      <x:c r="K103" t="str">
        <x:v>Active</x:v>
      </x:c>
      <x:c r="L103" t="n">
        <x:v>512</x:v>
      </x:c>
      <x:c r="M103" t="str"/>
      <x:c r="N103" t="n">
        <x:v>0</x:v>
      </x:c>
      <x:c r="O103" t="n">
        <x:v>14</x:v>
      </x:c>
      <x:c r="P103" s="16" t="n">
        <x:v>20609</x:v>
      </x:c>
      <x:c r="Q103" t="n">
        <x:v>1</x:v>
      </x:c>
      <x:c r="R103" t="n">
        <x:v>1</x:v>
      </x:c>
      <x:c r="S103" t="n">
        <x:v>614</x:v>
      </x:c>
      <x:c r="T103" s="18" t="n">
        <x:v>57.094166666666666</x:v>
      </x:c>
      <x:c r="U103" t="n">
        <x:v>25</x:v>
      </x:c>
      <x:c r="V103" t="n">
        <x:v>30</x:v>
      </x:c>
      <x:c r="W103" t="n">
        <x:v>7</x:v>
      </x:c>
      <x:c r="X103" s="18" t="n">
        <x:v>38.285714285714285</x:v>
      </x:c>
      <x:c r="Y103" s="18" t="n">
        <x:v>110.42857142857143</x:v>
      </x:c>
      <x:c r="Z103" s="18" t="n">
        <x:v>3.5</x:v>
      </x:c>
      <x:c r="AA103" t="n">
        <x:v>0</x:v>
      </x:c>
    </x:row>
    <x:row r="104">
      <x:c r="A104" t="str">
        <x:v>A-e888d1</x:v>
      </x:c>
      <x:c r="B104" t="str">
        <x:v>Company_102</x:v>
      </x:c>
      <x:c r="C104" t="str">
        <x:v>Cybersecurity</x:v>
      </x:c>
      <x:c r="D104" t="str">
        <x:v>US</x:v>
      </x:c>
      <x:c r="E104" s="14" t="n">
        <x:v>45013</x:v>
      </x:c>
      <x:c r="F104" t="str">
        <x:v>2023-03</x:v>
      </x:c>
      <x:c r="G104" t="str">
        <x:v>other</x:v>
      </x:c>
      <x:c r="H104" t="str">
        <x:v>Pro</x:v>
      </x:c>
      <x:c r="I104" t="n">
        <x:v>14</x:v>
      </x:c>
      <x:c r="J104" s="1" t="b">
        <x:v>0</x:v>
      </x:c>
      <x:c r="K104" t="str">
        <x:v>Active</x:v>
      </x:c>
      <x:c r="L104" t="n">
        <x:v>644</x:v>
      </x:c>
      <x:c r="M104" t="str"/>
      <x:c r="N104" t="n">
        <x:v>3</x:v>
      </x:c>
      <x:c r="O104" t="n">
        <x:v>11</x:v>
      </x:c>
      <x:c r="P104" s="16" t="n">
        <x:v>10462</x:v>
      </x:c>
      <x:c r="Q104" t="n">
        <x:v>1</x:v>
      </x:c>
      <x:c r="R104" t="n">
        <x:v>0</x:v>
      </x:c>
      <x:c r="S104" t="n">
        <x:v>552</x:v>
      </x:c>
      <x:c r="T104" s="18" t="n">
        <x:v>43.91305555555556</x:v>
      </x:c>
      <x:c r="U104" t="n">
        <x:v>36</x:v>
      </x:c>
      <x:c r="V104" t="n">
        <x:v>31</x:v>
      </x:c>
      <x:c r="W104" t="n">
        <x:v>5</x:v>
      </x:c>
      <x:c r="X104" s="18" t="n">
        <x:v>43</x:v>
      </x:c>
      <x:c r="Y104" s="18" t="n">
        <x:v>104</x:v>
      </x:c>
      <x:c r="Z104" s="18" t="n">
        <x:v>4</x:v>
      </x:c>
      <x:c r="AA104" t="n">
        <x:v>1</x:v>
      </x:c>
    </x:row>
    <x:row r="105">
      <x:c r="A105" t="str">
        <x:v>A-69fad4</x:v>
      </x:c>
      <x:c r="B105" t="str">
        <x:v>Company_103</x:v>
      </x:c>
      <x:c r="C105" t="str">
        <x:v>FinTech</x:v>
      </x:c>
      <x:c r="D105" t="str">
        <x:v>UK</x:v>
      </x:c>
      <x:c r="E105" s="14" t="n">
        <x:v>45022</x:v>
      </x:c>
      <x:c r="F105" t="str">
        <x:v>2023-04</x:v>
      </x:c>
      <x:c r="G105" t="str">
        <x:v>ads</x:v>
      </x:c>
      <x:c r="H105" t="str">
        <x:v>Basic</x:v>
      </x:c>
      <x:c r="I105" t="n">
        <x:v>6</x:v>
      </x:c>
      <x:c r="J105" s="1" t="b">
        <x:v>0</x:v>
      </x:c>
      <x:c r="K105" t="str">
        <x:v>Churned</x:v>
      </x:c>
      <x:c r="L105" t="n">
        <x:v>438</x:v>
      </x:c>
      <x:c r="M105" t="str">
        <x:v>support</x:v>
      </x:c>
      <x:c r="N105" t="n">
        <x:v>1</x:v>
      </x:c>
      <x:c r="O105" t="n">
        <x:v>7</x:v>
      </x:c>
      <x:c r="P105" s="16" t="n">
        <x:v>3678</x:v>
      </x:c>
      <x:c r="Q105" t="n">
        <x:v>0</x:v>
      </x:c>
      <x:c r="R105" t="n">
        <x:v>0</x:v>
      </x:c>
      <x:c r="S105" t="n">
        <x:v>412</x:v>
      </x:c>
      <x:c r="T105" s="18" t="n">
        <x:v>34.62388888888889</x:v>
      </x:c>
      <x:c r="U105" t="n">
        <x:v>24</x:v>
      </x:c>
      <x:c r="V105" t="n">
        <x:v>24</x:v>
      </x:c>
      <x:c r="W105" t="n">
        <x:v>4</x:v>
      </x:c>
      <x:c r="X105" s="18" t="n">
        <x:v>43</x:v>
      </x:c>
      <x:c r="Y105" s="18" t="n">
        <x:v>116.75</x:v>
      </x:c>
      <x:c r="Z105" s="18" t="n">
        <x:v>3.6666666666666665</x:v>
      </x:c>
      <x:c r="AA105" t="n">
        <x:v>0</x:v>
      </x:c>
    </x:row>
    <x:row r="106">
      <x:c r="A106" t="str">
        <x:v>A-9289f6</x:v>
      </x:c>
      <x:c r="B106" t="str">
        <x:v>Company_104</x:v>
      </x:c>
      <x:c r="C106" t="str">
        <x:v>EdTech</x:v>
      </x:c>
      <x:c r="D106" t="str">
        <x:v>US</x:v>
      </x:c>
      <x:c r="E106" s="14" t="n">
        <x:v>45077</x:v>
      </x:c>
      <x:c r="F106" t="str">
        <x:v>2023-05</x:v>
      </x:c>
      <x:c r="G106" t="str">
        <x:v>event</x:v>
      </x:c>
      <x:c r="H106" t="str">
        <x:v>Enterprise</x:v>
      </x:c>
      <x:c r="I106" t="n">
        <x:v>1</x:v>
      </x:c>
      <x:c r="J106" s="1" t="b">
        <x:v>0</x:v>
      </x:c>
      <x:c r="K106" t="str">
        <x:v>Active</x:v>
      </x:c>
      <x:c r="L106" t="n">
        <x:v>580</x:v>
      </x:c>
      <x:c r="M106" t="str"/>
      <x:c r="N106" t="n">
        <x:v>1</x:v>
      </x:c>
      <x:c r="O106" t="n">
        <x:v>12</x:v>
      </x:c>
      <x:c r="P106" s="16" t="n">
        <x:v>12868</x:v>
      </x:c>
      <x:c r="Q106" t="n">
        <x:v>2</x:v>
      </x:c>
      <x:c r="R106" t="n">
        <x:v>0</x:v>
      </x:c>
      <x:c r="S106" t="n">
        <x:v>642</x:v>
      </x:c>
      <x:c r="T106" s="18" t="n">
        <x:v>55.65972222222222</x:v>
      </x:c>
      <x:c r="U106" t="n">
        <x:v>38</x:v>
      </x:c>
      <x:c r="V106" t="n">
        <x:v>33</x:v>
      </x:c>
      <x:c r="W106" t="n">
        <x:v>6</x:v>
      </x:c>
      <x:c r="X106" s="18" t="n">
        <x:v>37.5</x:v>
      </x:c>
      <x:c r="Y106" s="18" t="n">
        <x:v>70</x:v>
      </x:c>
      <x:c r="Z106" s="18" t="n">
        <x:v>4.333333333333333</x:v>
      </x:c>
      <x:c r="AA106" t="n">
        <x:v>0</x:v>
      </x:c>
    </x:row>
    <x:row r="107">
      <x:c r="A107" t="str">
        <x:v>A-f19409</x:v>
      </x:c>
      <x:c r="B107" t="str">
        <x:v>Company_105</x:v>
      </x:c>
      <x:c r="C107" t="str">
        <x:v>DevTools</x:v>
      </x:c>
      <x:c r="D107" t="str">
        <x:v>US</x:v>
      </x:c>
      <x:c r="E107" s="14" t="n">
        <x:v>45001</x:v>
      </x:c>
      <x:c r="F107" t="str">
        <x:v>2023-03</x:v>
      </x:c>
      <x:c r="G107" t="str">
        <x:v>other</x:v>
      </x:c>
      <x:c r="H107" t="str">
        <x:v>Basic</x:v>
      </x:c>
      <x:c r="I107" t="n">
        <x:v>23</x:v>
      </x:c>
      <x:c r="J107" s="1" t="b">
        <x:v>0</x:v>
      </x:c>
      <x:c r="K107" t="str">
        <x:v>Churned</x:v>
      </x:c>
      <x:c r="L107" t="n">
        <x:v>70</x:v>
      </x:c>
      <x:c r="M107" t="str">
        <x:v>features</x:v>
      </x:c>
      <x:c r="N107" t="n">
        <x:v>2</x:v>
      </x:c>
      <x:c r="O107" t="n">
        <x:v>12</x:v>
      </x:c>
      <x:c r="P107" s="16" t="n">
        <x:v>29559</x:v>
      </x:c>
      <x:c r="Q107" t="n">
        <x:v>2</x:v>
      </x:c>
      <x:c r="R107" t="n">
        <x:v>0</x:v>
      </x:c>
      <x:c r="S107" t="n">
        <x:v>659</x:v>
      </x:c>
      <x:c r="T107" s="18" t="n">
        <x:v>58.28111111111111</x:v>
      </x:c>
      <x:c r="U107" t="n">
        <x:v>31</x:v>
      </x:c>
      <x:c r="V107" t="n">
        <x:v>33</x:v>
      </x:c>
      <x:c r="W107" t="n">
        <x:v>3</x:v>
      </x:c>
      <x:c r="X107" s="18" t="n">
        <x:v>6.333333333333333</x:v>
      </x:c>
      <x:c r="Y107" s="18" t="n">
        <x:v>103.33333333333333</x:v>
      </x:c>
      <x:c r="Z107" s="18" t="n">
        <x:v>4</x:v>
      </x:c>
      <x:c r="AA107" t="n">
        <x:v>0</x:v>
      </x:c>
    </x:row>
    <x:row r="108">
      <x:c r="A108" t="str">
        <x:v>A-22f2df</x:v>
      </x:c>
      <x:c r="B108" t="str">
        <x:v>Company_106</x:v>
      </x:c>
      <x:c r="C108" t="str">
        <x:v>DevTools</x:v>
      </x:c>
      <x:c r="D108" t="str">
        <x:v>US</x:v>
      </x:c>
      <x:c r="E108" s="14" t="n">
        <x:v>45640</x:v>
      </x:c>
      <x:c r="F108" t="str">
        <x:v>2024-12</x:v>
      </x:c>
      <x:c r="G108" t="str">
        <x:v>ads</x:v>
      </x:c>
      <x:c r="H108" t="str">
        <x:v>Basic</x:v>
      </x:c>
      <x:c r="I108" t="n">
        <x:v>3</x:v>
      </x:c>
      <x:c r="J108" s="1" t="b">
        <x:v>0</x:v>
      </x:c>
      <x:c r="K108" t="str">
        <x:v>Active</x:v>
      </x:c>
      <x:c r="L108" t="n">
        <x:v>17</x:v>
      </x:c>
      <x:c r="M108" t="str"/>
      <x:c r="N108" t="n">
        <x:v>0</x:v>
      </x:c>
      <x:c r="O108" t="n">
        <x:v>9</x:v>
      </x:c>
      <x:c r="P108" s="16" t="n">
        <x:v>7451</x:v>
      </x:c>
      <x:c r="Q108" t="n">
        <x:v>1</x:v>
      </x:c>
      <x:c r="R108" t="n">
        <x:v>1</x:v>
      </x:c>
      <x:c r="S108" t="n">
        <x:v>429</x:v>
      </x:c>
      <x:c r="T108" s="18" t="n">
        <x:v>33.090833333333336</x:v>
      </x:c>
      <x:c r="U108" t="n">
        <x:v>17</x:v>
      </x:c>
      <x:c r="V108" t="n">
        <x:v>25</x:v>
      </x:c>
      <x:c r="W108" t="n">
        <x:v>5</x:v>
      </x:c>
      <x:c r="X108" s="18" t="n">
        <x:v>44.8</x:v>
      </x:c>
      <x:c r="Y108" s="18" t="n">
        <x:v>71.6</x:v>
      </x:c>
      <x:c r="Z108" s="18" t="n">
        <x:v>5</x:v>
      </x:c>
      <x:c r="AA108" t="n">
        <x:v>0</x:v>
      </x:c>
    </x:row>
    <x:row r="109">
      <x:c r="A109" t="str">
        <x:v>A-039727</x:v>
      </x:c>
      <x:c r="B109" t="str">
        <x:v>Company_107</x:v>
      </x:c>
      <x:c r="C109" t="str">
        <x:v>EdTech</x:v>
      </x:c>
      <x:c r="D109" t="str">
        <x:v>AU</x:v>
      </x:c>
      <x:c r="E109" s="14" t="n">
        <x:v>45598</x:v>
      </x:c>
      <x:c r="F109" t="str">
        <x:v>2024-11</x:v>
      </x:c>
      <x:c r="G109" t="str">
        <x:v>organic</x:v>
      </x:c>
      <x:c r="H109" t="str">
        <x:v>Pro</x:v>
      </x:c>
      <x:c r="I109" t="n">
        <x:v>25</x:v>
      </x:c>
      <x:c r="J109" s="1" t="b">
        <x:v>0</x:v>
      </x:c>
      <x:c r="K109" t="str">
        <x:v>Active</x:v>
      </x:c>
      <x:c r="L109" t="n">
        <x:v>59</x:v>
      </x:c>
      <x:c r="M109" t="str"/>
      <x:c r="N109" t="n">
        <x:v>1</x:v>
      </x:c>
      <x:c r="O109" t="n">
        <x:v>15</x:v>
      </x:c>
      <x:c r="P109" s="16" t="n">
        <x:v>31445</x:v>
      </x:c>
      <x:c r="Q109" t="n">
        <x:v>3</x:v>
      </x:c>
      <x:c r="R109" t="n">
        <x:v>2</x:v>
      </x:c>
      <x:c r="S109" t="n">
        <x:v>768</x:v>
      </x:c>
      <x:c r="T109" s="18" t="n">
        <x:v>69.31805555555556</x:v>
      </x:c>
      <x:c r="U109" t="n">
        <x:v>32</x:v>
      </x:c>
      <x:c r="V109" t="n">
        <x:v>33</x:v>
      </x:c>
      <x:c r="W109" t="n">
        <x:v>0</x:v>
      </x:c>
      <x:c r="X109" s="18"/>
      <x:c r="Y109" s="18"/>
      <x:c r="Z109" s="18"/>
      <x:c r="AA109" t="n">
        <x:v>0</x:v>
      </x:c>
    </x:row>
    <x:row r="110">
      <x:c r="A110" t="str">
        <x:v>A-2e3bad</x:v>
      </x:c>
      <x:c r="B110" t="str">
        <x:v>Company_108</x:v>
      </x:c>
      <x:c r="C110" t="str">
        <x:v>FinTech</x:v>
      </x:c>
      <x:c r="D110" t="str">
        <x:v>CA</x:v>
      </x:c>
      <x:c r="E110" s="14" t="n">
        <x:v>45151</x:v>
      </x:c>
      <x:c r="F110" t="str">
        <x:v>2023-08</x:v>
      </x:c>
      <x:c r="G110" t="str">
        <x:v>other</x:v>
      </x:c>
      <x:c r="H110" t="str">
        <x:v>Pro</x:v>
      </x:c>
      <x:c r="I110" t="n">
        <x:v>61</x:v>
      </x:c>
      <x:c r="J110" s="1" t="b">
        <x:v>0</x:v>
      </x:c>
      <x:c r="K110" t="str">
        <x:v>Active</x:v>
      </x:c>
      <x:c r="L110" t="n">
        <x:v>506</x:v>
      </x:c>
      <x:c r="M110" t="str"/>
      <x:c r="N110" t="n">
        <x:v>1</x:v>
      </x:c>
      <x:c r="O110" t="n">
        <x:v>10</x:v>
      </x:c>
      <x:c r="P110" s="16" t="n">
        <x:v>41724</x:v>
      </x:c>
      <x:c r="Q110" t="n">
        <x:v>0</x:v>
      </x:c>
      <x:c r="R110" t="n">
        <x:v>0</x:v>
      </x:c>
      <x:c r="S110" t="n">
        <x:v>435</x:v>
      </x:c>
      <x:c r="T110" s="18" t="n">
        <x:v>34.37166666666667</x:v>
      </x:c>
      <x:c r="U110" t="n">
        <x:v>26</x:v>
      </x:c>
      <x:c r="V110" t="n">
        <x:v>25</x:v>
      </x:c>
      <x:c r="W110" t="n">
        <x:v>5</x:v>
      </x:c>
      <x:c r="X110" s="18" t="n">
        <x:v>31.4</x:v>
      </x:c>
      <x:c r="Y110" s="18" t="n">
        <x:v>107</x:v>
      </x:c>
      <x:c r="Z110" s="18" t="n">
        <x:v>3.5</x:v>
      </x:c>
      <x:c r="AA110" t="n">
        <x:v>0</x:v>
      </x:c>
    </x:row>
    <x:row r="111">
      <x:c r="A111" t="str">
        <x:v>A-484819</x:v>
      </x:c>
      <x:c r="B111" t="str">
        <x:v>Company_109</x:v>
      </x:c>
      <x:c r="C111" t="str">
        <x:v>HealthTech</x:v>
      </x:c>
      <x:c r="D111" t="str">
        <x:v>US</x:v>
      </x:c>
      <x:c r="E111" s="14" t="n">
        <x:v>44978</x:v>
      </x:c>
      <x:c r="F111" t="str">
        <x:v>2023-02</x:v>
      </x:c>
      <x:c r="G111" t="str">
        <x:v>organic</x:v>
      </x:c>
      <x:c r="H111" t="str">
        <x:v>Pro</x:v>
      </x:c>
      <x:c r="I111" t="n">
        <x:v>18</x:v>
      </x:c>
      <x:c r="J111" s="1" t="b">
        <x:v>0</x:v>
      </x:c>
      <x:c r="K111" t="str">
        <x:v>Active</x:v>
      </x:c>
      <x:c r="L111" t="n">
        <x:v>679</x:v>
      </x:c>
      <x:c r="M111" t="str"/>
      <x:c r="N111" t="n">
        <x:v>2</x:v>
      </x:c>
      <x:c r="O111" t="n">
        <x:v>8</x:v>
      </x:c>
      <x:c r="P111" s="16" t="n">
        <x:v>15088</x:v>
      </x:c>
      <x:c r="Q111" t="n">
        <x:v>3</x:v>
      </x:c>
      <x:c r="R111" t="n">
        <x:v>0</x:v>
      </x:c>
      <x:c r="S111" t="n">
        <x:v>336</x:v>
      </x:c>
      <x:c r="T111" s="18" t="n">
        <x:v>32.24333333333333</x:v>
      </x:c>
      <x:c r="U111" t="n">
        <x:v>20</x:v>
      </x:c>
      <x:c r="V111" t="n">
        <x:v>22</x:v>
      </x:c>
      <x:c r="W111" t="n">
        <x:v>5</x:v>
      </x:c>
      <x:c r="X111" s="18" t="n">
        <x:v>33.2</x:v>
      </x:c>
      <x:c r="Y111" s="18" t="n">
        <x:v>139.6</x:v>
      </x:c>
      <x:c r="Z111" s="18" t="n">
        <x:v>4.5</x:v>
      </x:c>
      <x:c r="AA111" t="n">
        <x:v>0</x:v>
      </x:c>
    </x:row>
    <x:row r="112">
      <x:c r="A112" t="str">
        <x:v>A-425e76</x:v>
      </x:c>
      <x:c r="B112" t="str">
        <x:v>Company_110</x:v>
      </x:c>
      <x:c r="C112" t="str">
        <x:v>DevTools</x:v>
      </x:c>
      <x:c r="D112" t="str">
        <x:v>UK</x:v>
      </x:c>
      <x:c r="E112" s="14" t="n">
        <x:v>45063</x:v>
      </x:c>
      <x:c r="F112" t="str">
        <x:v>2023-05</x:v>
      </x:c>
      <x:c r="G112" t="str">
        <x:v>other</x:v>
      </x:c>
      <x:c r="H112" t="str">
        <x:v>Enterprise</x:v>
      </x:c>
      <x:c r="I112" t="n">
        <x:v>8</x:v>
      </x:c>
      <x:c r="J112" s="1" t="b">
        <x:v>0</x:v>
      </x:c>
      <x:c r="K112" t="str">
        <x:v>Churned</x:v>
      </x:c>
      <x:c r="L112" t="n">
        <x:v>524</x:v>
      </x:c>
      <x:c r="M112" t="str">
        <x:v>competitor</x:v>
      </x:c>
      <x:c r="N112" t="n">
        <x:v>4</x:v>
      </x:c>
      <x:c r="O112" t="n">
        <x:v>11</x:v>
      </x:c>
      <x:c r="P112" s="16" t="n">
        <x:v>10743</x:v>
      </x:c>
      <x:c r="Q112" t="n">
        <x:v>1</x:v>
      </x:c>
      <x:c r="R112" t="n">
        <x:v>0</x:v>
      </x:c>
      <x:c r="S112" t="n">
        <x:v>438</x:v>
      </x:c>
      <x:c r="T112" s="18" t="n">
        <x:v>37.89416666666666</x:v>
      </x:c>
      <x:c r="U112" t="n">
        <x:v>24</x:v>
      </x:c>
      <x:c r="V112" t="n">
        <x:v>29</x:v>
      </x:c>
      <x:c r="W112" t="n">
        <x:v>5</x:v>
      </x:c>
      <x:c r="X112" s="18" t="n">
        <x:v>48.2</x:v>
      </x:c>
      <x:c r="Y112" s="18" t="n">
        <x:v>119.2</x:v>
      </x:c>
      <x:c r="Z112" s="18" t="n">
        <x:v>3.3333333333333335</x:v>
      </x:c>
      <x:c r="AA112" t="n">
        <x:v>1</x:v>
      </x:c>
    </x:row>
    <x:row r="113">
      <x:c r="A113" t="str">
        <x:v>A-e83938</x:v>
      </x:c>
      <x:c r="B113" t="str">
        <x:v>Company_111</x:v>
      </x:c>
      <x:c r="C113" t="str">
        <x:v>DevTools</x:v>
      </x:c>
      <x:c r="D113" t="str">
        <x:v>UK</x:v>
      </x:c>
      <x:c r="E113" s="14" t="n">
        <x:v>45251</x:v>
      </x:c>
      <x:c r="F113" t="str">
        <x:v>2023-11</x:v>
      </x:c>
      <x:c r="G113" t="str">
        <x:v>other</x:v>
      </x:c>
      <x:c r="H113" t="str">
        <x:v>Pro</x:v>
      </x:c>
      <x:c r="I113" t="n">
        <x:v>2</x:v>
      </x:c>
      <x:c r="J113" s="1" t="b">
        <x:v>1</x:v>
      </x:c>
      <x:c r="K113" t="str">
        <x:v>Churned</x:v>
      </x:c>
      <x:c r="L113" t="n">
        <x:v>404</x:v>
      </x:c>
      <x:c r="M113" t="str">
        <x:v>budget</x:v>
      </x:c>
      <x:c r="N113" t="n">
        <x:v>3</x:v>
      </x:c>
      <x:c r="O113" t="n">
        <x:v>8</x:v>
      </x:c>
      <x:c r="P113" s="16" t="n">
        <x:v>7503</x:v>
      </x:c>
      <x:c r="Q113" t="n">
        <x:v>2</x:v>
      </x:c>
      <x:c r="R113" t="n">
        <x:v>0</x:v>
      </x:c>
      <x:c r="S113" t="n">
        <x:v>266</x:v>
      </x:c>
      <x:c r="T113" s="18" t="n">
        <x:v>24.235833333333332</x:v>
      </x:c>
      <x:c r="U113" t="n">
        <x:v>18</x:v>
      </x:c>
      <x:c r="V113" t="n">
        <x:v>22</x:v>
      </x:c>
      <x:c r="W113" t="n">
        <x:v>4</x:v>
      </x:c>
      <x:c r="X113" s="18" t="n">
        <x:v>31</x:v>
      </x:c>
      <x:c r="Y113" s="18" t="n">
        <x:v>72.5</x:v>
      </x:c>
      <x:c r="Z113" s="18" t="n">
        <x:v>3</x:v>
      </x:c>
      <x:c r="AA113" t="n">
        <x:v>0</x:v>
      </x:c>
    </x:row>
    <x:row r="114">
      <x:c r="A114" t="str">
        <x:v>A-ad296b</x:v>
      </x:c>
      <x:c r="B114" t="str">
        <x:v>Company_112</x:v>
      </x:c>
      <x:c r="C114" t="str">
        <x:v>DevTools</x:v>
      </x:c>
      <x:c r="D114" t="str">
        <x:v>AU</x:v>
      </x:c>
      <x:c r="E114" s="14" t="n">
        <x:v>45488</x:v>
      </x:c>
      <x:c r="F114" t="str">
        <x:v>2024-07</x:v>
      </x:c>
      <x:c r="G114" t="str">
        <x:v>event</x:v>
      </x:c>
      <x:c r="H114" t="str">
        <x:v>Pro</x:v>
      </x:c>
      <x:c r="I114" t="n">
        <x:v>38</x:v>
      </x:c>
      <x:c r="J114" s="1" t="b">
        <x:v>0</x:v>
      </x:c>
      <x:c r="K114" t="str">
        <x:v>Active</x:v>
      </x:c>
      <x:c r="L114" t="n">
        <x:v>169</x:v>
      </x:c>
      <x:c r="M114" t="str"/>
      <x:c r="N114" t="n">
        <x:v>0</x:v>
      </x:c>
      <x:c r="O114" t="n">
        <x:v>6</x:v>
      </x:c>
      <x:c r="P114" s="16" t="n">
        <x:v>17708</x:v>
      </x:c>
      <x:c r="Q114" t="n">
        <x:v>0</x:v>
      </x:c>
      <x:c r="R114" t="n">
        <x:v>0</x:v>
      </x:c>
      <x:c r="S114" t="n">
        <x:v>294</x:v>
      </x:c>
      <x:c r="T114" s="18" t="n">
        <x:v>28.834722222222222</x:v>
      </x:c>
      <x:c r="U114" t="n">
        <x:v>12</x:v>
      </x:c>
      <x:c r="V114" t="n">
        <x:v>24</x:v>
      </x:c>
      <x:c r="W114" t="n">
        <x:v>3</x:v>
      </x:c>
      <x:c r="X114" s="18" t="n">
        <x:v>28.333333333333332</x:v>
      </x:c>
      <x:c r="Y114" s="18" t="n">
        <x:v>83.33333333333333</x:v>
      </x:c>
      <x:c r="Z114" s="18" t="n">
        <x:v>3.6666666666666665</x:v>
      </x:c>
      <x:c r="AA114" t="n">
        <x:v>1</x:v>
      </x:c>
    </x:row>
    <x:row r="115">
      <x:c r="A115" t="str">
        <x:v>A-e51ec7</x:v>
      </x:c>
      <x:c r="B115" t="str">
        <x:v>Company_113</x:v>
      </x:c>
      <x:c r="C115" t="str">
        <x:v>FinTech</x:v>
      </x:c>
      <x:c r="D115" t="str">
        <x:v>CA</x:v>
      </x:c>
      <x:c r="E115" s="14" t="n">
        <x:v>45192</x:v>
      </x:c>
      <x:c r="F115" t="str">
        <x:v>2023-09</x:v>
      </x:c>
      <x:c r="G115" t="str">
        <x:v>partner</x:v>
      </x:c>
      <x:c r="H115" t="str">
        <x:v>Enterprise</x:v>
      </x:c>
      <x:c r="I115" t="n">
        <x:v>2</x:v>
      </x:c>
      <x:c r="J115" s="1" t="b">
        <x:v>0</x:v>
      </x:c>
      <x:c r="K115" t="str">
        <x:v>Active</x:v>
      </x:c>
      <x:c r="L115" t="n">
        <x:v>465</x:v>
      </x:c>
      <x:c r="M115" t="str"/>
      <x:c r="N115" t="n">
        <x:v>3</x:v>
      </x:c>
      <x:c r="O115" t="n">
        <x:v>8</x:v>
      </x:c>
      <x:c r="P115" s="16" t="n">
        <x:v>24076</x:v>
      </x:c>
      <x:c r="Q115" t="n">
        <x:v>2</x:v>
      </x:c>
      <x:c r="R115" t="n">
        <x:v>1</x:v>
      </x:c>
      <x:c r="S115" t="n">
        <x:v>417</x:v>
      </x:c>
      <x:c r="T115" s="18" t="n">
        <x:v>35.206944444444446</x:v>
      </x:c>
      <x:c r="U115" t="n">
        <x:v>18</x:v>
      </x:c>
      <x:c r="V115" t="n">
        <x:v>26</x:v>
      </x:c>
      <x:c r="W115" t="n">
        <x:v>3</x:v>
      </x:c>
      <x:c r="X115" s="18" t="n">
        <x:v>37</x:v>
      </x:c>
      <x:c r="Y115" s="18" t="n">
        <x:v>93.33333333333333</x:v>
      </x:c>
      <x:c r="Z115" s="18" t="n">
        <x:v>5</x:v>
      </x:c>
      <x:c r="AA115" t="n">
        <x:v>0</x:v>
      </x:c>
    </x:row>
    <x:row r="116">
      <x:c r="A116" t="str">
        <x:v>A-0aaf6e</x:v>
      </x:c>
      <x:c r="B116" t="str">
        <x:v>Company_114</x:v>
      </x:c>
      <x:c r="C116" t="str">
        <x:v>FinTech</x:v>
      </x:c>
      <x:c r="D116" t="str">
        <x:v>US</x:v>
      </x:c>
      <x:c r="E116" s="14" t="n">
        <x:v>45423</x:v>
      </x:c>
      <x:c r="F116" t="str">
        <x:v>2024-05</x:v>
      </x:c>
      <x:c r="G116" t="str">
        <x:v>organic</x:v>
      </x:c>
      <x:c r="H116" t="str">
        <x:v>Enterprise</x:v>
      </x:c>
      <x:c r="I116" t="n">
        <x:v>3</x:v>
      </x:c>
      <x:c r="J116" s="1" t="b">
        <x:v>0</x:v>
      </x:c>
      <x:c r="K116" t="str">
        <x:v>Active</x:v>
      </x:c>
      <x:c r="L116" t="n">
        <x:v>234</x:v>
      </x:c>
      <x:c r="M116" t="str"/>
      <x:c r="N116" t="n">
        <x:v>0</x:v>
      </x:c>
      <x:c r="O116" t="n">
        <x:v>9</x:v>
      </x:c>
      <x:c r="P116" s="16" t="n">
        <x:v>23496</x:v>
      </x:c>
      <x:c r="Q116" t="n">
        <x:v>0</x:v>
      </x:c>
      <x:c r="R116" t="n">
        <x:v>0</x:v>
      </x:c>
      <x:c r="S116" t="n">
        <x:v>599</x:v>
      </x:c>
      <x:c r="T116" s="18" t="n">
        <x:v>47.900555555555556</x:v>
      </x:c>
      <x:c r="U116" t="n">
        <x:v>39</x:v>
      </x:c>
      <x:c r="V116" t="n">
        <x:v>25</x:v>
      </x:c>
      <x:c r="W116" t="n">
        <x:v>5</x:v>
      </x:c>
      <x:c r="X116" s="18" t="n">
        <x:v>45</x:v>
      </x:c>
      <x:c r="Y116" s="18" t="n">
        <x:v>75.4</x:v>
      </x:c>
      <x:c r="Z116" s="18" t="n">
        <x:v>4</x:v>
      </x:c>
      <x:c r="AA116" t="n">
        <x:v>0</x:v>
      </x:c>
    </x:row>
    <x:row r="117">
      <x:c r="A117" t="str">
        <x:v>A-e61e98</x:v>
      </x:c>
      <x:c r="B117" t="str">
        <x:v>Company_115</x:v>
      </x:c>
      <x:c r="C117" t="str">
        <x:v>FinTech</x:v>
      </x:c>
      <x:c r="D117" t="str">
        <x:v>US</x:v>
      </x:c>
      <x:c r="E117" s="14" t="n">
        <x:v>45219</x:v>
      </x:c>
      <x:c r="F117" t="str">
        <x:v>2023-10</x:v>
      </x:c>
      <x:c r="G117" t="str">
        <x:v>partner</x:v>
      </x:c>
      <x:c r="H117" t="str">
        <x:v>Enterprise</x:v>
      </x:c>
      <x:c r="I117" t="n">
        <x:v>19</x:v>
      </x:c>
      <x:c r="J117" s="1" t="b">
        <x:v>0</x:v>
      </x:c>
      <x:c r="K117" t="str">
        <x:v>Churned</x:v>
      </x:c>
      <x:c r="L117" t="n">
        <x:v>365</x:v>
      </x:c>
      <x:c r="M117" t="str">
        <x:v>features</x:v>
      </x:c>
      <x:c r="N117" t="n">
        <x:v>1</x:v>
      </x:c>
      <x:c r="O117" t="n">
        <x:v>9</x:v>
      </x:c>
      <x:c r="P117" s="16" t="n">
        <x:v>13484</x:v>
      </x:c>
      <x:c r="Q117" t="n">
        <x:v>2</x:v>
      </x:c>
      <x:c r="R117" t="n">
        <x:v>0</x:v>
      </x:c>
      <x:c r="S117" t="n">
        <x:v>527</x:v>
      </x:c>
      <x:c r="T117" s="18" t="n">
        <x:v>36.665</x:v>
      </x:c>
      <x:c r="U117" t="n">
        <x:v>25</x:v>
      </x:c>
      <x:c r="V117" t="n">
        <x:v>32</x:v>
      </x:c>
      <x:c r="W117" t="n">
        <x:v>6</x:v>
      </x:c>
      <x:c r="X117" s="18" t="n">
        <x:v>30.333333333333332</x:v>
      </x:c>
      <x:c r="Y117" s="18" t="n">
        <x:v>88.5</x:v>
      </x:c>
      <x:c r="Z117" s="18" t="n">
        <x:v>4.6</x:v>
      </x:c>
      <x:c r="AA117" t="n">
        <x:v>1</x:v>
      </x:c>
    </x:row>
    <x:row r="118">
      <x:c r="A118" t="str">
        <x:v>A-92a333</x:v>
      </x:c>
      <x:c r="B118" t="str">
        <x:v>Company_116</x:v>
      </x:c>
      <x:c r="C118" t="str">
        <x:v>FinTech</x:v>
      </x:c>
      <x:c r="D118" t="str">
        <x:v>US</x:v>
      </x:c>
      <x:c r="E118" s="14" t="n">
        <x:v>45009</x:v>
      </x:c>
      <x:c r="F118" t="str">
        <x:v>2023-03</x:v>
      </x:c>
      <x:c r="G118" t="str">
        <x:v>event</x:v>
      </x:c>
      <x:c r="H118" t="str">
        <x:v>Enterprise</x:v>
      </x:c>
      <x:c r="I118" t="n">
        <x:v>9</x:v>
      </x:c>
      <x:c r="J118" s="1" t="b">
        <x:v>0</x:v>
      </x:c>
      <x:c r="K118" t="str">
        <x:v>Active</x:v>
      </x:c>
      <x:c r="L118" t="n">
        <x:v>648</x:v>
      </x:c>
      <x:c r="M118" t="str"/>
      <x:c r="N118" t="n">
        <x:v>0</x:v>
      </x:c>
      <x:c r="O118" t="n">
        <x:v>6</x:v>
      </x:c>
      <x:c r="P118" s="16" t="n">
        <x:v>10659</x:v>
      </x:c>
      <x:c r="Q118" t="n">
        <x:v>0</x:v>
      </x:c>
      <x:c r="R118" t="n">
        <x:v>1</x:v>
      </x:c>
      <x:c r="S118" t="n">
        <x:v>364</x:v>
      </x:c>
      <x:c r="T118" s="18" t="n">
        <x:v>28.790277777777778</x:v>
      </x:c>
      <x:c r="U118" t="n">
        <x:v>30</x:v>
      </x:c>
      <x:c r="V118" t="n">
        <x:v>22</x:v>
      </x:c>
      <x:c r="W118" t="n">
        <x:v>4</x:v>
      </x:c>
      <x:c r="X118" s="18" t="n">
        <x:v>23.25</x:v>
      </x:c>
      <x:c r="Y118" s="18" t="n">
        <x:v>58.25</x:v>
      </x:c>
      <x:c r="Z118" s="18"/>
      <x:c r="AA118" t="n">
        <x:v>1</x:v>
      </x:c>
    </x:row>
    <x:row r="119">
      <x:c r="A119" t="str">
        <x:v>A-95b24a</x:v>
      </x:c>
      <x:c r="B119" t="str">
        <x:v>Company_117</x:v>
      </x:c>
      <x:c r="C119" t="str">
        <x:v>FinTech</x:v>
      </x:c>
      <x:c r="D119" t="str">
        <x:v>US</x:v>
      </x:c>
      <x:c r="E119" s="14" t="n">
        <x:v>45083</x:v>
      </x:c>
      <x:c r="F119" t="str">
        <x:v>2023-06</x:v>
      </x:c>
      <x:c r="G119" t="str">
        <x:v>event</x:v>
      </x:c>
      <x:c r="H119" t="str">
        <x:v>Pro</x:v>
      </x:c>
      <x:c r="I119" t="n">
        <x:v>38</x:v>
      </x:c>
      <x:c r="J119" s="1" t="b">
        <x:v>0</x:v>
      </x:c>
      <x:c r="K119" t="str">
        <x:v>Churned</x:v>
      </x:c>
      <x:c r="L119" t="n">
        <x:v>574</x:v>
      </x:c>
      <x:c r="M119" t="str"/>
      <x:c r="N119" t="n">
        <x:v>0</x:v>
      </x:c>
      <x:c r="O119" t="n">
        <x:v>11</x:v>
      </x:c>
      <x:c r="P119" s="16" t="n">
        <x:v>25034</x:v>
      </x:c>
      <x:c r="Q119" t="n">
        <x:v>4</x:v>
      </x:c>
      <x:c r="R119" t="n">
        <x:v>1</x:v>
      </x:c>
      <x:c r="S119" t="n">
        <x:v>611</x:v>
      </x:c>
      <x:c r="T119" s="18" t="n">
        <x:v>52.46</x:v>
      </x:c>
      <x:c r="U119" t="n">
        <x:v>34</x:v>
      </x:c>
      <x:c r="V119" t="n">
        <x:v>32</x:v>
      </x:c>
      <x:c r="W119" t="n">
        <x:v>5</x:v>
      </x:c>
      <x:c r="X119" s="18" t="n">
        <x:v>21.2</x:v>
      </x:c>
      <x:c r="Y119" s="18" t="n">
        <x:v>90.4</x:v>
      </x:c>
      <x:c r="Z119" s="18" t="n">
        <x:v>4.25</x:v>
      </x:c>
      <x:c r="AA119" t="n">
        <x:v>0</x:v>
      </x:c>
    </x:row>
    <x:row r="120">
      <x:c r="A120" t="str">
        <x:v>A-42e5e1</x:v>
      </x:c>
      <x:c r="B120" t="str">
        <x:v>Company_118</x:v>
      </x:c>
      <x:c r="C120" t="str">
        <x:v>DevTools</x:v>
      </x:c>
      <x:c r="D120" t="str">
        <x:v>US</x:v>
      </x:c>
      <x:c r="E120" s="14" t="n">
        <x:v>45482</x:v>
      </x:c>
      <x:c r="F120" t="str">
        <x:v>2024-07</x:v>
      </x:c>
      <x:c r="G120" t="str">
        <x:v>ads</x:v>
      </x:c>
      <x:c r="H120" t="str">
        <x:v>Pro</x:v>
      </x:c>
      <x:c r="I120" t="n">
        <x:v>1</x:v>
      </x:c>
      <x:c r="J120" s="1" t="b">
        <x:v>0</x:v>
      </x:c>
      <x:c r="K120" t="str">
        <x:v>Churned</x:v>
      </x:c>
      <x:c r="L120" t="n">
        <x:v>87</x:v>
      </x:c>
      <x:c r="M120" t="str">
        <x:v>pricing</x:v>
      </x:c>
      <x:c r="N120" t="n">
        <x:v>1</x:v>
      </x:c>
      <x:c r="O120" t="n">
        <x:v>7</x:v>
      </x:c>
      <x:c r="P120" s="16" t="n">
        <x:v>4936</x:v>
      </x:c>
      <x:c r="Q120" t="n">
        <x:v>1</x:v>
      </x:c>
      <x:c r="R120" t="n">
        <x:v>1</x:v>
      </x:c>
      <x:c r="S120" t="n">
        <x:v>411</x:v>
      </x:c>
      <x:c r="T120" s="18" t="n">
        <x:v>32.41777777777778</x:v>
      </x:c>
      <x:c r="U120" t="n">
        <x:v>41</x:v>
      </x:c>
      <x:c r="V120" t="n">
        <x:v>24</x:v>
      </x:c>
      <x:c r="W120" t="n">
        <x:v>3</x:v>
      </x:c>
      <x:c r="X120" s="18" t="n">
        <x:v>29</x:v>
      </x:c>
      <x:c r="Y120" s="18" t="n">
        <x:v>81.33333333333333</x:v>
      </x:c>
      <x:c r="Z120" s="18" t="n">
        <x:v>4</x:v>
      </x:c>
      <x:c r="AA120" t="n">
        <x:v>0</x:v>
      </x:c>
    </x:row>
    <x:row r="121">
      <x:c r="A121" t="str">
        <x:v>A-7d514c</x:v>
      </x:c>
      <x:c r="B121" t="str">
        <x:v>Company_119</x:v>
      </x:c>
      <x:c r="C121" t="str">
        <x:v>HealthTech</x:v>
      </x:c>
      <x:c r="D121" t="str">
        <x:v>DE</x:v>
      </x:c>
      <x:c r="E121" s="14" t="n">
        <x:v>45325</x:v>
      </x:c>
      <x:c r="F121" t="str">
        <x:v>2024-02</x:v>
      </x:c>
      <x:c r="G121" t="str">
        <x:v>organic</x:v>
      </x:c>
      <x:c r="H121" t="str">
        <x:v>Enterprise</x:v>
      </x:c>
      <x:c r="I121" t="n">
        <x:v>17</x:v>
      </x:c>
      <x:c r="J121" s="1" t="b">
        <x:v>0</x:v>
      </x:c>
      <x:c r="K121" t="str">
        <x:v>Active</x:v>
      </x:c>
      <x:c r="L121" t="n">
        <x:v>332</x:v>
      </x:c>
      <x:c r="M121" t="str"/>
      <x:c r="N121" t="n">
        <x:v>0</x:v>
      </x:c>
      <x:c r="O121" t="n">
        <x:v>9</x:v>
      </x:c>
      <x:c r="P121" s="16" t="n">
        <x:v>15717</x:v>
      </x:c>
      <x:c r="Q121" t="n">
        <x:v>2</x:v>
      </x:c>
      <x:c r="R121" t="n">
        <x:v>0</x:v>
      </x:c>
      <x:c r="S121" t="n">
        <x:v>502</x:v>
      </x:c>
      <x:c r="T121" s="18" t="n">
        <x:v>40.75194444444445</x:v>
      </x:c>
      <x:c r="U121" t="n">
        <x:v>30</x:v>
      </x:c>
      <x:c r="V121" t="n">
        <x:v>30</x:v>
      </x:c>
      <x:c r="W121" t="n">
        <x:v>3</x:v>
      </x:c>
      <x:c r="X121" s="18" t="n">
        <x:v>33.333333333333336</x:v>
      </x:c>
      <x:c r="Y121" s="18" t="n">
        <x:v>49.666666666666664</x:v>
      </x:c>
      <x:c r="Z121" s="18" t="n">
        <x:v>5</x:v>
      </x:c>
      <x:c r="AA121" t="n">
        <x:v>0</x:v>
      </x:c>
    </x:row>
    <x:row r="122">
      <x:c r="A122" t="str">
        <x:v>A-65aeb5</x:v>
      </x:c>
      <x:c r="B122" t="str">
        <x:v>Company_120</x:v>
      </x:c>
      <x:c r="C122" t="str">
        <x:v>DevTools</x:v>
      </x:c>
      <x:c r="D122" t="str">
        <x:v>US</x:v>
      </x:c>
      <x:c r="E122" s="14" t="n">
        <x:v>45316</x:v>
      </x:c>
      <x:c r="F122" t="str">
        <x:v>2024-01</x:v>
      </x:c>
      <x:c r="G122" t="str">
        <x:v>partner</x:v>
      </x:c>
      <x:c r="H122" t="str">
        <x:v>Pro</x:v>
      </x:c>
      <x:c r="I122" t="n">
        <x:v>9</x:v>
      </x:c>
      <x:c r="J122" s="1" t="b">
        <x:v>0</x:v>
      </x:c>
      <x:c r="K122" t="str">
        <x:v>Active</x:v>
      </x:c>
      <x:c r="L122" t="n">
        <x:v>341</x:v>
      </x:c>
      <x:c r="M122" t="str"/>
      <x:c r="N122" t="n">
        <x:v>2</x:v>
      </x:c>
      <x:c r="O122" t="n">
        <x:v>12</x:v>
      </x:c>
      <x:c r="P122" s="16" t="n">
        <x:v>19893</x:v>
      </x:c>
      <x:c r="Q122" t="n">
        <x:v>0</x:v>
      </x:c>
      <x:c r="R122" t="n">
        <x:v>1</x:v>
      </x:c>
      <x:c r="S122" t="n">
        <x:v>533</x:v>
      </x:c>
      <x:c r="T122" s="18" t="n">
        <x:v>41.120555555555555</x:v>
      </x:c>
      <x:c r="U122" t="n">
        <x:v>40</x:v>
      </x:c>
      <x:c r="V122" t="n">
        <x:v>30</x:v>
      </x:c>
      <x:c r="W122" t="n">
        <x:v>2</x:v>
      </x:c>
      <x:c r="X122" s="18" t="n">
        <x:v>42.5</x:v>
      </x:c>
      <x:c r="Y122" s="18" t="n">
        <x:v>159.5</x:v>
      </x:c>
      <x:c r="Z122" s="18" t="n">
        <x:v>5</x:v>
      </x:c>
      <x:c r="AA122" t="n">
        <x:v>0</x:v>
      </x:c>
    </x:row>
    <x:row r="123">
      <x:c r="A123" t="str">
        <x:v>A-e2cd1b</x:v>
      </x:c>
      <x:c r="B123" t="str">
        <x:v>Company_121</x:v>
      </x:c>
      <x:c r="C123" t="str">
        <x:v>DevTools</x:v>
      </x:c>
      <x:c r="D123" t="str">
        <x:v>US</x:v>
      </x:c>
      <x:c r="E123" s="14" t="n">
        <x:v>45326</x:v>
      </x:c>
      <x:c r="F123" t="str">
        <x:v>2024-02</x:v>
      </x:c>
      <x:c r="G123" t="str">
        <x:v>other</x:v>
      </x:c>
      <x:c r="H123" t="str">
        <x:v>Enterprise</x:v>
      </x:c>
      <x:c r="I123" t="n">
        <x:v>15</x:v>
      </x:c>
      <x:c r="J123" s="1" t="b">
        <x:v>0</x:v>
      </x:c>
      <x:c r="K123" t="str">
        <x:v>Active</x:v>
      </x:c>
      <x:c r="L123" t="n">
        <x:v>331</x:v>
      </x:c>
      <x:c r="M123" t="str"/>
      <x:c r="N123" t="n">
        <x:v>0</x:v>
      </x:c>
      <x:c r="O123" t="n">
        <x:v>9</x:v>
      </x:c>
      <x:c r="P123" s="16" t="n">
        <x:v>12548</x:v>
      </x:c>
      <x:c r="Q123" t="n">
        <x:v>1</x:v>
      </x:c>
      <x:c r="R123" t="n">
        <x:v>0</x:v>
      </x:c>
      <x:c r="S123" t="n">
        <x:v>465</x:v>
      </x:c>
      <x:c r="T123" s="18" t="n">
        <x:v>38.34527777777778</x:v>
      </x:c>
      <x:c r="U123" t="n">
        <x:v>18</x:v>
      </x:c>
      <x:c r="V123" t="n">
        <x:v>29</x:v>
      </x:c>
      <x:c r="W123" t="n">
        <x:v>5</x:v>
      </x:c>
      <x:c r="X123" s="18" t="n">
        <x:v>37.8</x:v>
      </x:c>
      <x:c r="Y123" s="18" t="n">
        <x:v>76</x:v>
      </x:c>
      <x:c r="Z123" s="18" t="n">
        <x:v>4</x:v>
      </x:c>
      <x:c r="AA123" t="n">
        <x:v>0</x:v>
      </x:c>
    </x:row>
    <x:row r="124">
      <x:c r="A124" t="str">
        <x:v>A-180abf</x:v>
      </x:c>
      <x:c r="B124" t="str">
        <x:v>Company_122</x:v>
      </x:c>
      <x:c r="C124" t="str">
        <x:v>DevTools</x:v>
      </x:c>
      <x:c r="D124" t="str">
        <x:v>US</x:v>
      </x:c>
      <x:c r="E124" s="14" t="n">
        <x:v>45152</x:v>
      </x:c>
      <x:c r="F124" t="str">
        <x:v>2023-08</x:v>
      </x:c>
      <x:c r="G124" t="str">
        <x:v>event</x:v>
      </x:c>
      <x:c r="H124" t="str">
        <x:v>Pro</x:v>
      </x:c>
      <x:c r="I124" t="n">
        <x:v>64</x:v>
      </x:c>
      <x:c r="J124" s="1" t="b">
        <x:v>0</x:v>
      </x:c>
      <x:c r="K124" t="str">
        <x:v>Churned</x:v>
      </x:c>
      <x:c r="L124" t="n">
        <x:v>395</x:v>
      </x:c>
      <x:c r="M124" t="str">
        <x:v>support</x:v>
      </x:c>
      <x:c r="N124" t="n">
        <x:v>5</x:v>
      </x:c>
      <x:c r="O124" t="n">
        <x:v>9</x:v>
      </x:c>
      <x:c r="P124" s="16" t="n">
        <x:v>24576</x:v>
      </x:c>
      <x:c r="Q124" t="n">
        <x:v>2</x:v>
      </x:c>
      <x:c r="R124" t="n">
        <x:v>0</x:v>
      </x:c>
      <x:c r="S124" t="n">
        <x:v>499</x:v>
      </x:c>
      <x:c r="T124" s="18" t="n">
        <x:v>37.84722222222222</x:v>
      </x:c>
      <x:c r="U124" t="n">
        <x:v>28</x:v>
      </x:c>
      <x:c r="V124" t="n">
        <x:v>29</x:v>
      </x:c>
      <x:c r="W124" t="n">
        <x:v>3</x:v>
      </x:c>
      <x:c r="X124" s="18" t="n">
        <x:v>36.333333333333336</x:v>
      </x:c>
      <x:c r="Y124" s="18" t="n">
        <x:v>62.333333333333336</x:v>
      </x:c>
      <x:c r="Z124" s="18" t="n">
        <x:v>3</x:v>
      </x:c>
      <x:c r="AA124" t="n">
        <x:v>0</x:v>
      </x:c>
    </x:row>
    <x:row r="125">
      <x:c r="A125" t="str">
        <x:v>A-f17767</x:v>
      </x:c>
      <x:c r="B125" t="str">
        <x:v>Company_123</x:v>
      </x:c>
      <x:c r="C125" t="str">
        <x:v>DevTools</x:v>
      </x:c>
      <x:c r="D125" t="str">
        <x:v>US</x:v>
      </x:c>
      <x:c r="E125" s="14" t="n">
        <x:v>44956</x:v>
      </x:c>
      <x:c r="F125" t="str">
        <x:v>2023-01</x:v>
      </x:c>
      <x:c r="G125" t="str">
        <x:v>event</x:v>
      </x:c>
      <x:c r="H125" t="str">
        <x:v>Enterprise</x:v>
      </x:c>
      <x:c r="I125" t="n">
        <x:v>1</x:v>
      </x:c>
      <x:c r="J125" s="1" t="b">
        <x:v>1</x:v>
      </x:c>
      <x:c r="K125" t="str">
        <x:v>Churned</x:v>
      </x:c>
      <x:c r="L125" t="n">
        <x:v>93</x:v>
      </x:c>
      <x:c r="M125" t="str">
        <x:v>pricing</x:v>
      </x:c>
      <x:c r="N125" t="n">
        <x:v>1</x:v>
      </x:c>
      <x:c r="O125" t="n">
        <x:v>14</x:v>
      </x:c>
      <x:c r="P125" s="16" t="n">
        <x:v>14914</x:v>
      </x:c>
      <x:c r="Q125" t="n">
        <x:v>3</x:v>
      </x:c>
      <x:c r="R125" t="n">
        <x:v>1</x:v>
      </x:c>
      <x:c r="S125" t="n">
        <x:v>713</x:v>
      </x:c>
      <x:c r="T125" s="18" t="n">
        <x:v>58.049166666666665</x:v>
      </x:c>
      <x:c r="U125" t="n">
        <x:v>38</x:v>
      </x:c>
      <x:c r="V125" t="n">
        <x:v>35</x:v>
      </x:c>
      <x:c r="W125" t="n">
        <x:v>3</x:v>
      </x:c>
      <x:c r="X125" s="18" t="n">
        <x:v>36.333333333333336</x:v>
      </x:c>
      <x:c r="Y125" s="18" t="n">
        <x:v>115</x:v>
      </x:c>
      <x:c r="Z125" s="18" t="n">
        <x:v>4</x:v>
      </x:c>
      <x:c r="AA125" t="n">
        <x:v>1</x:v>
      </x:c>
    </x:row>
    <x:row r="126">
      <x:c r="A126" t="str">
        <x:v>A-5a184f</x:v>
      </x:c>
      <x:c r="B126" t="str">
        <x:v>Company_124</x:v>
      </x:c>
      <x:c r="C126" t="str">
        <x:v>DevTools</x:v>
      </x:c>
      <x:c r="D126" t="str">
        <x:v>DE</x:v>
      </x:c>
      <x:c r="E126" s="14" t="n">
        <x:v>45096</x:v>
      </x:c>
      <x:c r="F126" t="str">
        <x:v>2023-06</x:v>
      </x:c>
      <x:c r="G126" t="str">
        <x:v>other</x:v>
      </x:c>
      <x:c r="H126" t="str">
        <x:v>Enterprise</x:v>
      </x:c>
      <x:c r="I126" t="n">
        <x:v>1</x:v>
      </x:c>
      <x:c r="J126" s="1" t="b">
        <x:v>0</x:v>
      </x:c>
      <x:c r="K126" t="str">
        <x:v>Churned</x:v>
      </x:c>
      <x:c r="L126" t="n">
        <x:v>450</x:v>
      </x:c>
      <x:c r="M126" t="str">
        <x:v>support</x:v>
      </x:c>
      <x:c r="N126" t="n">
        <x:v>3</x:v>
      </x:c>
      <x:c r="O126" t="n">
        <x:v>10</x:v>
      </x:c>
      <x:c r="P126" s="16" t="n">
        <x:v>19999</x:v>
      </x:c>
      <x:c r="Q126" t="n">
        <x:v>0</x:v>
      </x:c>
      <x:c r="R126" t="n">
        <x:v>1</x:v>
      </x:c>
      <x:c r="S126" t="n">
        <x:v>587</x:v>
      </x:c>
      <x:c r="T126" s="18" t="n">
        <x:v>48.785833333333336</x:v>
      </x:c>
      <x:c r="U126" t="n">
        <x:v>29</x:v>
      </x:c>
      <x:c r="V126" t="n">
        <x:v>30</x:v>
      </x:c>
      <x:c r="W126" t="n">
        <x:v>3</x:v>
      </x:c>
      <x:c r="X126" s="18" t="n">
        <x:v>15.333333333333334</x:v>
      </x:c>
      <x:c r="Y126" s="18" t="n">
        <x:v>42.333333333333336</x:v>
      </x:c>
      <x:c r="Z126" s="18" t="n">
        <x:v>4.333333333333333</x:v>
      </x:c>
      <x:c r="AA126" t="n">
        <x:v>0</x:v>
      </x:c>
    </x:row>
    <x:row r="127">
      <x:c r="A127" t="str">
        <x:v>A-7df7a7</x:v>
      </x:c>
      <x:c r="B127" t="str">
        <x:v>Company_125</x:v>
      </x:c>
      <x:c r="C127" t="str">
        <x:v>DevTools</x:v>
      </x:c>
      <x:c r="D127" t="str">
        <x:v>US</x:v>
      </x:c>
      <x:c r="E127" s="14" t="n">
        <x:v>44954</x:v>
      </x:c>
      <x:c r="F127" t="str">
        <x:v>2023-01</x:v>
      </x:c>
      <x:c r="G127" t="str">
        <x:v>organic</x:v>
      </x:c>
      <x:c r="H127" t="str">
        <x:v>Basic</x:v>
      </x:c>
      <x:c r="I127" t="n">
        <x:v>7</x:v>
      </x:c>
      <x:c r="J127" s="1" t="b">
        <x:v>0</x:v>
      </x:c>
      <x:c r="K127" t="str">
        <x:v>Churned</x:v>
      </x:c>
      <x:c r="L127" t="n">
        <x:v>529</x:v>
      </x:c>
      <x:c r="M127" t="str">
        <x:v>budget</x:v>
      </x:c>
      <x:c r="N127" t="n">
        <x:v>1</x:v>
      </x:c>
      <x:c r="O127" t="n">
        <x:v>15</x:v>
      </x:c>
      <x:c r="P127" s="16" t="n">
        <x:v>26568</x:v>
      </x:c>
      <x:c r="Q127" t="n">
        <x:v>0</x:v>
      </x:c>
      <x:c r="R127" t="n">
        <x:v>2</x:v>
      </x:c>
      <x:c r="S127" t="n">
        <x:v>922</x:v>
      </x:c>
      <x:c r="T127" s="18" t="n">
        <x:v>71.33638888888889</x:v>
      </x:c>
      <x:c r="U127" t="n">
        <x:v>47</x:v>
      </x:c>
      <x:c r="V127" t="n">
        <x:v>36</x:v>
      </x:c>
      <x:c r="W127" t="n">
        <x:v>3</x:v>
      </x:c>
      <x:c r="X127" s="18" t="n">
        <x:v>28</x:v>
      </x:c>
      <x:c r="Y127" s="18" t="n">
        <x:v>93</x:v>
      </x:c>
      <x:c r="Z127" s="18" t="n">
        <x:v>4</x:v>
      </x:c>
      <x:c r="AA127" t="n">
        <x:v>1</x:v>
      </x:c>
    </x:row>
    <x:row r="128">
      <x:c r="A128" t="str">
        <x:v>A-1ac5e0</x:v>
      </x:c>
      <x:c r="B128" t="str">
        <x:v>Company_126</x:v>
      </x:c>
      <x:c r="C128" t="str">
        <x:v>DevTools</x:v>
      </x:c>
      <x:c r="D128" t="str">
        <x:v>US</x:v>
      </x:c>
      <x:c r="E128" s="14" t="n">
        <x:v>45585</x:v>
      </x:c>
      <x:c r="F128" t="str">
        <x:v>2024-10</x:v>
      </x:c>
      <x:c r="G128" t="str">
        <x:v>event</x:v>
      </x:c>
      <x:c r="H128" t="str">
        <x:v>Basic</x:v>
      </x:c>
      <x:c r="I128" t="n">
        <x:v>33</x:v>
      </x:c>
      <x:c r="J128" s="1" t="b">
        <x:v>0</x:v>
      </x:c>
      <x:c r="K128" t="str">
        <x:v>Churned</x:v>
      </x:c>
      <x:c r="L128" t="n">
        <x:v>72</x:v>
      </x:c>
      <x:c r="M128" t="str"/>
      <x:c r="N128" t="n">
        <x:v>0</x:v>
      </x:c>
      <x:c r="O128" t="n">
        <x:v>10</x:v>
      </x:c>
      <x:c r="P128" s="16" t="n">
        <x:v>18249</x:v>
      </x:c>
      <x:c r="Q128" t="n">
        <x:v>0</x:v>
      </x:c>
      <x:c r="R128" t="n">
        <x:v>0</x:v>
      </x:c>
      <x:c r="S128" t="n">
        <x:v>558</x:v>
      </x:c>
      <x:c r="T128" s="18" t="n">
        <x:v>46.64</x:v>
      </x:c>
      <x:c r="U128" t="n">
        <x:v>31</x:v>
      </x:c>
      <x:c r="V128" t="n">
        <x:v>31</x:v>
      </x:c>
      <x:c r="W128" t="n">
        <x:v>7</x:v>
      </x:c>
      <x:c r="X128" s="18" t="n">
        <x:v>40.42857142857143</x:v>
      </x:c>
      <x:c r="Y128" s="18" t="n">
        <x:v>76</x:v>
      </x:c>
      <x:c r="Z128" s="18" t="n">
        <x:v>3.8</x:v>
      </x:c>
      <x:c r="AA128" t="n">
        <x:v>0</x:v>
      </x:c>
    </x:row>
    <x:row r="129">
      <x:c r="A129" t="str">
        <x:v>A-52dd88</x:v>
      </x:c>
      <x:c r="B129" t="str">
        <x:v>Company_127</x:v>
      </x:c>
      <x:c r="C129" t="str">
        <x:v>Cybersecurity</x:v>
      </x:c>
      <x:c r="D129" t="str">
        <x:v>US</x:v>
      </x:c>
      <x:c r="E129" s="14" t="n">
        <x:v>44978</x:v>
      </x:c>
      <x:c r="F129" t="str">
        <x:v>2023-02</x:v>
      </x:c>
      <x:c r="G129" t="str">
        <x:v>ads</x:v>
      </x:c>
      <x:c r="H129" t="str">
        <x:v>Pro</x:v>
      </x:c>
      <x:c r="I129" t="n">
        <x:v>23</x:v>
      </x:c>
      <x:c r="J129" s="1" t="b">
        <x:v>0</x:v>
      </x:c>
      <x:c r="K129" t="str">
        <x:v>Active</x:v>
      </x:c>
      <x:c r="L129" t="n">
        <x:v>679</x:v>
      </x:c>
      <x:c r="M129" t="str"/>
      <x:c r="N129" t="n">
        <x:v>0</x:v>
      </x:c>
      <x:c r="O129" t="n">
        <x:v>11</x:v>
      </x:c>
      <x:c r="P129" s="16" t="n">
        <x:v>16592</x:v>
      </x:c>
      <x:c r="Q129" t="n">
        <x:v>1</x:v>
      </x:c>
      <x:c r="R129" t="n">
        <x:v>0</x:v>
      </x:c>
      <x:c r="S129" t="n">
        <x:v>516</x:v>
      </x:c>
      <x:c r="T129" s="18" t="n">
        <x:v>50.228611111111114</x:v>
      </x:c>
      <x:c r="U129" t="n">
        <x:v>33</x:v>
      </x:c>
      <x:c r="V129" t="n">
        <x:v>28</x:v>
      </x:c>
      <x:c r="W129" t="n">
        <x:v>1</x:v>
      </x:c>
      <x:c r="X129" s="18" t="n">
        <x:v>72</x:v>
      </x:c>
      <x:c r="Y129" s="18" t="n">
        <x:v>111</x:v>
      </x:c>
      <x:c r="Z129" s="18"/>
      <x:c r="AA129" t="n">
        <x:v>0</x:v>
      </x:c>
    </x:row>
    <x:row r="130">
      <x:c r="A130" t="str">
        <x:v>A-bece89</x:v>
      </x:c>
      <x:c r="B130" t="str">
        <x:v>Company_128</x:v>
      </x:c>
      <x:c r="C130" t="str">
        <x:v>Cybersecurity</x:v>
      </x:c>
      <x:c r="D130" t="str">
        <x:v>IN</x:v>
      </x:c>
      <x:c r="E130" s="14" t="n">
        <x:v>45261</x:v>
      </x:c>
      <x:c r="F130" t="str">
        <x:v>2023-12</x:v>
      </x:c>
      <x:c r="G130" t="str">
        <x:v>event</x:v>
      </x:c>
      <x:c r="H130" t="str">
        <x:v>Pro</x:v>
      </x:c>
      <x:c r="I130" t="n">
        <x:v>26</x:v>
      </x:c>
      <x:c r="J130" s="1" t="b">
        <x:v>0</x:v>
      </x:c>
      <x:c r="K130" t="str">
        <x:v>Active</x:v>
      </x:c>
      <x:c r="L130" t="n">
        <x:v>396</x:v>
      </x:c>
      <x:c r="M130" t="str"/>
      <x:c r="N130" t="n">
        <x:v>2</x:v>
      </x:c>
      <x:c r="O130" t="n">
        <x:v>6</x:v>
      </x:c>
      <x:c r="P130" s="16" t="n">
        <x:v>19250</x:v>
      </x:c>
      <x:c r="Q130" t="n">
        <x:v>1</x:v>
      </x:c>
      <x:c r="R130" t="n">
        <x:v>0</x:v>
      </x:c>
      <x:c r="S130" t="n">
        <x:v>176</x:v>
      </x:c>
      <x:c r="T130" s="18" t="n">
        <x:v>13.364444444444445</x:v>
      </x:c>
      <x:c r="U130" t="n">
        <x:v>13</x:v>
      </x:c>
      <x:c r="V130" t="n">
        <x:v>16</x:v>
      </x:c>
      <x:c r="W130" t="n">
        <x:v>4</x:v>
      </x:c>
      <x:c r="X130" s="18" t="n">
        <x:v>32.5</x:v>
      </x:c>
      <x:c r="Y130" s="18" t="n">
        <x:v>103.75</x:v>
      </x:c>
      <x:c r="Z130" s="18" t="n">
        <x:v>4</x:v>
      </x:c>
      <x:c r="AA130" t="n">
        <x:v>1</x:v>
      </x:c>
    </x:row>
    <x:row r="131">
      <x:c r="A131" t="str">
        <x:v>A-029f69</x:v>
      </x:c>
      <x:c r="B131" t="str">
        <x:v>Company_129</x:v>
      </x:c>
      <x:c r="C131" t="str">
        <x:v>Cybersecurity</x:v>
      </x:c>
      <x:c r="D131" t="str">
        <x:v>CA</x:v>
      </x:c>
      <x:c r="E131" s="14" t="n">
        <x:v>45358</x:v>
      </x:c>
      <x:c r="F131" t="str">
        <x:v>2024-03</x:v>
      </x:c>
      <x:c r="G131" t="str">
        <x:v>event</x:v>
      </x:c>
      <x:c r="H131" t="str">
        <x:v>Basic</x:v>
      </x:c>
      <x:c r="I131" t="n">
        <x:v>3</x:v>
      </x:c>
      <x:c r="J131" s="1" t="b">
        <x:v>0</x:v>
      </x:c>
      <x:c r="K131" t="str">
        <x:v>Active</x:v>
      </x:c>
      <x:c r="L131" t="n">
        <x:v>299</x:v>
      </x:c>
      <x:c r="M131" t="str"/>
      <x:c r="N131" t="n">
        <x:v>3</x:v>
      </x:c>
      <x:c r="O131" t="n">
        <x:v>16</x:v>
      </x:c>
      <x:c r="P131" s="16" t="n">
        <x:v>13324</x:v>
      </x:c>
      <x:c r="Q131" t="n">
        <x:v>2</x:v>
      </x:c>
      <x:c r="R131" t="n">
        <x:v>0</x:v>
      </x:c>
      <x:c r="S131" t="n">
        <x:v>789</x:v>
      </x:c>
      <x:c r="T131" s="18" t="n">
        <x:v>67.02083333333333</x:v>
      </x:c>
      <x:c r="U131" t="n">
        <x:v>42</x:v>
      </x:c>
      <x:c r="V131" t="n">
        <x:v>37</x:v>
      </x:c>
      <x:c r="W131" t="n">
        <x:v>2</x:v>
      </x:c>
      <x:c r="X131" s="18" t="n">
        <x:v>42</x:v>
      </x:c>
      <x:c r="Y131" s="18" t="n">
        <x:v>108</x:v>
      </x:c>
      <x:c r="Z131" s="18" t="n">
        <x:v>3</x:v>
      </x:c>
      <x:c r="AA131" t="n">
        <x:v>0</x:v>
      </x:c>
    </x:row>
    <x:row r="132">
      <x:c r="A132" t="str">
        <x:v>A-5c046d</x:v>
      </x:c>
      <x:c r="B132" t="str">
        <x:v>Company_130</x:v>
      </x:c>
      <x:c r="C132" t="str">
        <x:v>EdTech</x:v>
      </x:c>
      <x:c r="D132" t="str">
        <x:v>FR</x:v>
      </x:c>
      <x:c r="E132" s="14" t="n">
        <x:v>45479</x:v>
      </x:c>
      <x:c r="F132" t="str">
        <x:v>2024-07</x:v>
      </x:c>
      <x:c r="G132" t="str">
        <x:v>partner</x:v>
      </x:c>
      <x:c r="H132" t="str">
        <x:v>Basic</x:v>
      </x:c>
      <x:c r="I132" t="n">
        <x:v>93</x:v>
      </x:c>
      <x:c r="J132" s="1" t="b">
        <x:v>0</x:v>
      </x:c>
      <x:c r="K132" t="str">
        <x:v>Active</x:v>
      </x:c>
      <x:c r="L132" t="n">
        <x:v>178</x:v>
      </x:c>
      <x:c r="M132" t="str"/>
      <x:c r="N132" t="n">
        <x:v>0</x:v>
      </x:c>
      <x:c r="O132" t="n">
        <x:v>8</x:v>
      </x:c>
      <x:c r="P132" s="16" t="n">
        <x:v>83886</x:v>
      </x:c>
      <x:c r="Q132" t="n">
        <x:v>0</x:v>
      </x:c>
      <x:c r="R132" t="n">
        <x:v>0</x:v>
      </x:c>
      <x:c r="S132" t="n">
        <x:v>475</x:v>
      </x:c>
      <x:c r="T132" s="18" t="n">
        <x:v>35.535</x:v>
      </x:c>
      <x:c r="U132" t="n">
        <x:v>23</x:v>
      </x:c>
      <x:c r="V132" t="n">
        <x:v>27</x:v>
      </x:c>
      <x:c r="W132" t="n">
        <x:v>1</x:v>
      </x:c>
      <x:c r="X132" s="18" t="n">
        <x:v>13</x:v>
      </x:c>
      <x:c r="Y132" s="18" t="n">
        <x:v>128</x:v>
      </x:c>
      <x:c r="Z132" s="18" t="n">
        <x:v>3</x:v>
      </x:c>
      <x:c r="AA132" t="n">
        <x:v>0</x:v>
      </x:c>
    </x:row>
    <x:row r="133">
      <x:c r="A133" t="str">
        <x:v>A-fb186e</x:v>
      </x:c>
      <x:c r="B133" t="str">
        <x:v>Company_131</x:v>
      </x:c>
      <x:c r="C133" t="str">
        <x:v>EdTech</x:v>
      </x:c>
      <x:c r="D133" t="str">
        <x:v>IN</x:v>
      </x:c>
      <x:c r="E133" s="14" t="n">
        <x:v>45592</x:v>
      </x:c>
      <x:c r="F133" t="str">
        <x:v>2024-10</x:v>
      </x:c>
      <x:c r="G133" t="str">
        <x:v>organic</x:v>
      </x:c>
      <x:c r="H133" t="str">
        <x:v>Basic</x:v>
      </x:c>
      <x:c r="I133" t="n">
        <x:v>29</x:v>
      </x:c>
      <x:c r="J133" s="1" t="b">
        <x:v>0</x:v>
      </x:c>
      <x:c r="K133" t="str">
        <x:v>Active</x:v>
      </x:c>
      <x:c r="L133" t="n">
        <x:v>65</x:v>
      </x:c>
      <x:c r="M133" t="str"/>
      <x:c r="N133" t="n">
        <x:v>0</x:v>
      </x:c>
      <x:c r="O133" t="n">
        <x:v>3</x:v>
      </x:c>
      <x:c r="P133" s="16" t="n">
        <x:v>5771</x:v>
      </x:c>
      <x:c r="Q133" t="n">
        <x:v>0</x:v>
      </x:c>
      <x:c r="R133" t="n">
        <x:v>0</x:v>
      </x:c>
      <x:c r="S133" t="n">
        <x:v>207</x:v>
      </x:c>
      <x:c r="T133" s="18" t="n">
        <x:v>20.04722222222222</x:v>
      </x:c>
      <x:c r="U133" t="n">
        <x:v>7</x:v>
      </x:c>
      <x:c r="V133" t="n">
        <x:v>15</x:v>
      </x:c>
      <x:c r="W133" t="n">
        <x:v>6</x:v>
      </x:c>
      <x:c r="X133" s="18" t="n">
        <x:v>26.166666666666668</x:v>
      </x:c>
      <x:c r="Y133" s="18" t="n">
        <x:v>81</x:v>
      </x:c>
      <x:c r="Z133" s="18" t="n">
        <x:v>3.6666666666666665</x:v>
      </x:c>
      <x:c r="AA133" t="n">
        <x:v>0</x:v>
      </x:c>
    </x:row>
    <x:row r="134">
      <x:c r="A134" t="str">
        <x:v>A-ae052e</x:v>
      </x:c>
      <x:c r="B134" t="str">
        <x:v>Company_132</x:v>
      </x:c>
      <x:c r="C134" t="str">
        <x:v>FinTech</x:v>
      </x:c>
      <x:c r="D134" t="str">
        <x:v>CA</x:v>
      </x:c>
      <x:c r="E134" s="14" t="n">
        <x:v>45180</x:v>
      </x:c>
      <x:c r="F134" t="str">
        <x:v>2023-09</x:v>
      </x:c>
      <x:c r="G134" t="str">
        <x:v>other</x:v>
      </x:c>
      <x:c r="H134" t="str">
        <x:v>Basic</x:v>
      </x:c>
      <x:c r="I134" t="n">
        <x:v>39</x:v>
      </x:c>
      <x:c r="J134" s="1" t="b">
        <x:v>0</x:v>
      </x:c>
      <x:c r="K134" t="str">
        <x:v>Active</x:v>
      </x:c>
      <x:c r="L134" t="n">
        <x:v>477</x:v>
      </x:c>
      <x:c r="M134" t="str"/>
      <x:c r="N134" t="n">
        <x:v>4</x:v>
      </x:c>
      <x:c r="O134" t="n">
        <x:v>6</x:v>
      </x:c>
      <x:c r="P134" s="16" t="n">
        <x:v>3822</x:v>
      </x:c>
      <x:c r="Q134" t="n">
        <x:v>1</x:v>
      </x:c>
      <x:c r="R134" t="n">
        <x:v>1</x:v>
      </x:c>
      <x:c r="S134" t="n">
        <x:v>300</x:v>
      </x:c>
      <x:c r="T134" s="18" t="n">
        <x:v>24.550833333333333</x:v>
      </x:c>
      <x:c r="U134" t="n">
        <x:v>12</x:v>
      </x:c>
      <x:c r="V134" t="n">
        <x:v>24</x:v>
      </x:c>
      <x:c r="W134" t="n">
        <x:v>4</x:v>
      </x:c>
      <x:c r="X134" s="18" t="n">
        <x:v>31.25</x:v>
      </x:c>
      <x:c r="Y134" s="18" t="n">
        <x:v>60.5</x:v>
      </x:c>
      <x:c r="Z134" s="18" t="n">
        <x:v>4</x:v>
      </x:c>
      <x:c r="AA134" t="n">
        <x:v>0</x:v>
      </x:c>
    </x:row>
    <x:row r="135">
      <x:c r="A135" t="str">
        <x:v>A-9f9299</x:v>
      </x:c>
      <x:c r="B135" t="str">
        <x:v>Company_133</x:v>
      </x:c>
      <x:c r="C135" t="str">
        <x:v>FinTech</x:v>
      </x:c>
      <x:c r="D135" t="str">
        <x:v>US</x:v>
      </x:c>
      <x:c r="E135" s="14" t="n">
        <x:v>45171</x:v>
      </x:c>
      <x:c r="F135" t="str">
        <x:v>2023-09</x:v>
      </x:c>
      <x:c r="G135" t="str">
        <x:v>organic</x:v>
      </x:c>
      <x:c r="H135" t="str">
        <x:v>Enterprise</x:v>
      </x:c>
      <x:c r="I135" t="n">
        <x:v>28</x:v>
      </x:c>
      <x:c r="J135" s="1" t="b">
        <x:v>1</x:v>
      </x:c>
      <x:c r="K135" t="str">
        <x:v>Active</x:v>
      </x:c>
      <x:c r="L135" t="n">
        <x:v>486</x:v>
      </x:c>
      <x:c r="M135" t="str"/>
      <x:c r="N135" t="n">
        <x:v>2</x:v>
      </x:c>
      <x:c r="O135" t="n">
        <x:v>15</x:v>
      </x:c>
      <x:c r="P135" s="16" t="n">
        <x:v>34087</x:v>
      </x:c>
      <x:c r="Q135" t="n">
        <x:v>0</x:v>
      </x:c>
      <x:c r="R135" t="n">
        <x:v>0</x:v>
      </x:c>
      <x:c r="S135" t="n">
        <x:v>830</x:v>
      </x:c>
      <x:c r="T135" s="18" t="n">
        <x:v>71.79583333333333</x:v>
      </x:c>
      <x:c r="U135" t="n">
        <x:v>54</x:v>
      </x:c>
      <x:c r="V135" t="n">
        <x:v>37</x:v>
      </x:c>
      <x:c r="W135" t="n">
        <x:v>5</x:v>
      </x:c>
      <x:c r="X135" s="18" t="n">
        <x:v>36.2</x:v>
      </x:c>
      <x:c r="Y135" s="18" t="n">
        <x:v>116.2</x:v>
      </x:c>
      <x:c r="Z135" s="18" t="n">
        <x:v>5</x:v>
      </x:c>
      <x:c r="AA135" t="n">
        <x:v>0</x:v>
      </x:c>
    </x:row>
    <x:row r="136">
      <x:c r="A136" t="str">
        <x:v>A-96e141</x:v>
      </x:c>
      <x:c r="B136" t="str">
        <x:v>Company_134</x:v>
      </x:c>
      <x:c r="C136" t="str">
        <x:v>DevTools</x:v>
      </x:c>
      <x:c r="D136" t="str">
        <x:v>UK</x:v>
      </x:c>
      <x:c r="E136" s="14" t="n">
        <x:v>45150</x:v>
      </x:c>
      <x:c r="F136" t="str">
        <x:v>2023-08</x:v>
      </x:c>
      <x:c r="G136" t="str">
        <x:v>partner</x:v>
      </x:c>
      <x:c r="H136" t="str">
        <x:v>Basic</x:v>
      </x:c>
      <x:c r="I136" t="n">
        <x:v>14</x:v>
      </x:c>
      <x:c r="J136" s="1" t="b">
        <x:v>0</x:v>
      </x:c>
      <x:c r="K136" t="str">
        <x:v>Active</x:v>
      </x:c>
      <x:c r="L136" t="n">
        <x:v>507</x:v>
      </x:c>
      <x:c r="M136" t="str"/>
      <x:c r="N136" t="n">
        <x:v>2</x:v>
      </x:c>
      <x:c r="O136" t="n">
        <x:v>7</x:v>
      </x:c>
      <x:c r="P136" s="16" t="n">
        <x:v>15183</x:v>
      </x:c>
      <x:c r="Q136" t="n">
        <x:v>0</x:v>
      </x:c>
      <x:c r="R136" t="n">
        <x:v>0</x:v>
      </x:c>
      <x:c r="S136" t="n">
        <x:v>346</x:v>
      </x:c>
      <x:c r="T136" s="18" t="n">
        <x:v>22.663055555555555</x:v>
      </x:c>
      <x:c r="U136" t="n">
        <x:v>19</x:v>
      </x:c>
      <x:c r="V136" t="n">
        <x:v>26</x:v>
      </x:c>
      <x:c r="W136" t="n">
        <x:v>5</x:v>
      </x:c>
      <x:c r="X136" s="18" t="n">
        <x:v>32.8</x:v>
      </x:c>
      <x:c r="Y136" s="18" t="n">
        <x:v>68.4</x:v>
      </x:c>
      <x:c r="Z136" s="18" t="n">
        <x:v>4.333333333333333</x:v>
      </x:c>
      <x:c r="AA136" t="n">
        <x:v>0</x:v>
      </x:c>
    </x:row>
    <x:row r="137">
      <x:c r="A137" t="str">
        <x:v>A-117171</x:v>
      </x:c>
      <x:c r="B137" t="str">
        <x:v>Company_135</x:v>
      </x:c>
      <x:c r="C137" t="str">
        <x:v>HealthTech</x:v>
      </x:c>
      <x:c r="D137" t="str">
        <x:v>FR</x:v>
      </x:c>
      <x:c r="E137" s="14" t="n">
        <x:v>45547</x:v>
      </x:c>
      <x:c r="F137" t="str">
        <x:v>2024-09</x:v>
      </x:c>
      <x:c r="G137" t="str">
        <x:v>organic</x:v>
      </x:c>
      <x:c r="H137" t="str">
        <x:v>Basic</x:v>
      </x:c>
      <x:c r="I137" t="n">
        <x:v>45</x:v>
      </x:c>
      <x:c r="J137" s="1" t="b">
        <x:v>0</x:v>
      </x:c>
      <x:c r="K137" t="str">
        <x:v>Churned</x:v>
      </x:c>
      <x:c r="L137" t="n">
        <x:v>63</x:v>
      </x:c>
      <x:c r="M137" t="str">
        <x:v>pricing</x:v>
      </x:c>
      <x:c r="N137" t="n">
        <x:v>3</x:v>
      </x:c>
      <x:c r="O137" t="n">
        <x:v>5</x:v>
      </x:c>
      <x:c r="P137" s="16" t="n">
        <x:v>9810</x:v>
      </x:c>
      <x:c r="Q137" t="n">
        <x:v>0</x:v>
      </x:c>
      <x:c r="R137" t="n">
        <x:v>1</x:v>
      </x:c>
      <x:c r="S137" t="n">
        <x:v>208</x:v>
      </x:c>
      <x:c r="T137" s="18" t="n">
        <x:v>16.628888888888888</x:v>
      </x:c>
      <x:c r="U137" t="n">
        <x:v>11</x:v>
      </x:c>
      <x:c r="V137" t="n">
        <x:v>15</x:v>
      </x:c>
      <x:c r="W137" t="n">
        <x:v>6</x:v>
      </x:c>
      <x:c r="X137" s="18" t="n">
        <x:v>32.5</x:v>
      </x:c>
      <x:c r="Y137" s="18" t="n">
        <x:v>68.33333333333333</x:v>
      </x:c>
      <x:c r="Z137" s="18" t="n">
        <x:v>3.6666666666666665</x:v>
      </x:c>
      <x:c r="AA137" t="n">
        <x:v>1</x:v>
      </x:c>
    </x:row>
    <x:row r="138">
      <x:c r="A138" t="str">
        <x:v>A-313be3</x:v>
      </x:c>
      <x:c r="B138" t="str">
        <x:v>Company_136</x:v>
      </x:c>
      <x:c r="C138" t="str">
        <x:v>EdTech</x:v>
      </x:c>
      <x:c r="D138" t="str">
        <x:v>US</x:v>
      </x:c>
      <x:c r="E138" s="14" t="n">
        <x:v>45245</x:v>
      </x:c>
      <x:c r="F138" t="str">
        <x:v>2023-11</x:v>
      </x:c>
      <x:c r="G138" t="str">
        <x:v>partner</x:v>
      </x:c>
      <x:c r="H138" t="str">
        <x:v>Enterprise</x:v>
      </x:c>
      <x:c r="I138" t="n">
        <x:v>47</x:v>
      </x:c>
      <x:c r="J138" s="1" t="b">
        <x:v>1</x:v>
      </x:c>
      <x:c r="K138" t="str">
        <x:v>Active</x:v>
      </x:c>
      <x:c r="L138" t="n">
        <x:v>412</x:v>
      </x:c>
      <x:c r="M138" t="str"/>
      <x:c r="N138" t="n">
        <x:v>2</x:v>
      </x:c>
      <x:c r="O138" t="n">
        <x:v>11</x:v>
      </x:c>
      <x:c r="P138" s="16" t="n">
        <x:v>19006</x:v>
      </x:c>
      <x:c r="Q138" t="n">
        <x:v>1</x:v>
      </x:c>
      <x:c r="R138" t="n">
        <x:v>0</x:v>
      </x:c>
      <x:c r="S138" t="n">
        <x:v>560</x:v>
      </x:c>
      <x:c r="T138" s="18" t="n">
        <x:v>45.706944444444446</x:v>
      </x:c>
      <x:c r="U138" t="n">
        <x:v>40</x:v>
      </x:c>
      <x:c r="V138" t="n">
        <x:v>33</x:v>
      </x:c>
      <x:c r="W138" t="n">
        <x:v>4</x:v>
      </x:c>
      <x:c r="X138" s="18" t="n">
        <x:v>22.5</x:v>
      </x:c>
      <x:c r="Y138" s="18" t="n">
        <x:v>80.25</x:v>
      </x:c>
      <x:c r="Z138" s="18" t="n">
        <x:v>5</x:v>
      </x:c>
      <x:c r="AA138" t="n">
        <x:v>1</x:v>
      </x:c>
    </x:row>
    <x:row r="139">
      <x:c r="A139" t="str">
        <x:v>A-671f31</x:v>
      </x:c>
      <x:c r="B139" t="str">
        <x:v>Company_137</x:v>
      </x:c>
      <x:c r="C139" t="str">
        <x:v>DevTools</x:v>
      </x:c>
      <x:c r="D139" t="str">
        <x:v>US</x:v>
      </x:c>
      <x:c r="E139" s="14" t="n">
        <x:v>45620</x:v>
      </x:c>
      <x:c r="F139" t="str">
        <x:v>2024-11</x:v>
      </x:c>
      <x:c r="G139" t="str">
        <x:v>ads</x:v>
      </x:c>
      <x:c r="H139" t="str">
        <x:v>Basic</x:v>
      </x:c>
      <x:c r="I139" t="n">
        <x:v>59</x:v>
      </x:c>
      <x:c r="J139" s="1" t="b">
        <x:v>0</x:v>
      </x:c>
      <x:c r="K139" t="str">
        <x:v>Active</x:v>
      </x:c>
      <x:c r="L139" t="n">
        <x:v>37</x:v>
      </x:c>
      <x:c r="M139" t="str"/>
      <x:c r="N139" t="n">
        <x:v>0</x:v>
      </x:c>
      <x:c r="O139" t="n">
        <x:v>6</x:v>
      </x:c>
      <x:c r="P139" s="16" t="n">
        <x:v>30385</x:v>
      </x:c>
      <x:c r="Q139" t="n">
        <x:v>0</x:v>
      </x:c>
      <x:c r="R139" t="n">
        <x:v>1</x:v>
      </x:c>
      <x:c r="S139" t="n">
        <x:v>167</x:v>
      </x:c>
      <x:c r="T139" s="18" t="n">
        <x:v>12.069166666666666</x:v>
      </x:c>
      <x:c r="U139" t="n">
        <x:v>16</x:v>
      </x:c>
      <x:c r="V139" t="n">
        <x:v>13</x:v>
      </x:c>
      <x:c r="W139" t="n">
        <x:v>7</x:v>
      </x:c>
      <x:c r="X139" s="18" t="n">
        <x:v>33</x:v>
      </x:c>
      <x:c r="Y139" s="18" t="n">
        <x:v>78</x:v>
      </x:c>
      <x:c r="Z139" s="18" t="n">
        <x:v>4.2</x:v>
      </x:c>
      <x:c r="AA139" t="n">
        <x:v>0</x:v>
      </x:c>
    </x:row>
    <x:row r="140">
      <x:c r="A140" t="str">
        <x:v>A-bbc346</x:v>
      </x:c>
      <x:c r="B140" t="str">
        <x:v>Company_138</x:v>
      </x:c>
      <x:c r="C140" t="str">
        <x:v>FinTech</x:v>
      </x:c>
      <x:c r="D140" t="str">
        <x:v>US</x:v>
      </x:c>
      <x:c r="E140" s="14" t="n">
        <x:v>45533</x:v>
      </x:c>
      <x:c r="F140" t="str">
        <x:v>2024-08</x:v>
      </x:c>
      <x:c r="G140" t="str">
        <x:v>partner</x:v>
      </x:c>
      <x:c r="H140" t="str">
        <x:v>Enterprise</x:v>
      </x:c>
      <x:c r="I140" t="n">
        <x:v>19</x:v>
      </x:c>
      <x:c r="J140" s="1" t="b">
        <x:v>0</x:v>
      </x:c>
      <x:c r="K140" t="str">
        <x:v>Active</x:v>
      </x:c>
      <x:c r="L140" t="n">
        <x:v>124</x:v>
      </x:c>
      <x:c r="M140" t="str"/>
      <x:c r="N140" t="n">
        <x:v>2</x:v>
      </x:c>
      <x:c r="O140" t="n">
        <x:v>13</x:v>
      </x:c>
      <x:c r="P140" s="16" t="n">
        <x:v>32142</x:v>
      </x:c>
      <x:c r="Q140" t="n">
        <x:v>3</x:v>
      </x:c>
      <x:c r="R140" t="n">
        <x:v>2</x:v>
      </x:c>
      <x:c r="S140" t="n">
        <x:v>650</x:v>
      </x:c>
      <x:c r="T140" s="18" t="n">
        <x:v>49.82666666666667</x:v>
      </x:c>
      <x:c r="U140" t="n">
        <x:v>37</x:v>
      </x:c>
      <x:c r="V140" t="n">
        <x:v>34</x:v>
      </x:c>
      <x:c r="W140" t="n">
        <x:v>3</x:v>
      </x:c>
      <x:c r="X140" s="18" t="n">
        <x:v>45.333333333333336</x:v>
      </x:c>
      <x:c r="Y140" s="18" t="n">
        <x:v>102.66666666666667</x:v>
      </x:c>
      <x:c r="Z140" s="18" t="n">
        <x:v>4.5</x:v>
      </x:c>
      <x:c r="AA140" t="n">
        <x:v>0</x:v>
      </x:c>
    </x:row>
    <x:row r="141">
      <x:c r="A141" t="str">
        <x:v>A-c16101</x:v>
      </x:c>
      <x:c r="B141" t="str">
        <x:v>Company_139</x:v>
      </x:c>
      <x:c r="C141" t="str">
        <x:v>EdTech</x:v>
      </x:c>
      <x:c r="D141" t="str">
        <x:v>IN</x:v>
      </x:c>
      <x:c r="E141" s="14" t="n">
        <x:v>45541</x:v>
      </x:c>
      <x:c r="F141" t="str">
        <x:v>2024-09</x:v>
      </x:c>
      <x:c r="G141" t="str">
        <x:v>other</x:v>
      </x:c>
      <x:c r="H141" t="str">
        <x:v>Basic</x:v>
      </x:c>
      <x:c r="I141" t="n">
        <x:v>7</x:v>
      </x:c>
      <x:c r="J141" s="1" t="b">
        <x:v>0</x:v>
      </x:c>
      <x:c r="K141" t="str">
        <x:v>Active</x:v>
      </x:c>
      <x:c r="L141" t="n">
        <x:v>116</x:v>
      </x:c>
      <x:c r="M141" t="str"/>
      <x:c r="N141" t="n">
        <x:v>2</x:v>
      </x:c>
      <x:c r="O141" t="n">
        <x:v>10</x:v>
      </x:c>
      <x:c r="P141" s="16" t="n">
        <x:v>12422</x:v>
      </x:c>
      <x:c r="Q141" t="n">
        <x:v>1</x:v>
      </x:c>
      <x:c r="R141" t="n">
        <x:v>1</x:v>
      </x:c>
      <x:c r="S141" t="n">
        <x:v>561</x:v>
      </x:c>
      <x:c r="T141" s="18" t="n">
        <x:v>51.66222222222222</x:v>
      </x:c>
      <x:c r="U141" t="n">
        <x:v>29</x:v>
      </x:c>
      <x:c r="V141" t="n">
        <x:v>31</x:v>
      </x:c>
      <x:c r="W141" t="n">
        <x:v>4</x:v>
      </x:c>
      <x:c r="X141" s="18" t="n">
        <x:v>28</x:v>
      </x:c>
      <x:c r="Y141" s="18" t="n">
        <x:v>82</x:v>
      </x:c>
      <x:c r="Z141" s="18" t="n">
        <x:v>5</x:v>
      </x:c>
      <x:c r="AA141" t="n">
        <x:v>1</x:v>
      </x:c>
    </x:row>
    <x:row r="142">
      <x:c r="A142" t="str">
        <x:v>A-50f3f7</x:v>
      </x:c>
      <x:c r="B142" t="str">
        <x:v>Company_140</x:v>
      </x:c>
      <x:c r="C142" t="str">
        <x:v>HealthTech</x:v>
      </x:c>
      <x:c r="D142" t="str">
        <x:v>US</x:v>
      </x:c>
      <x:c r="E142" s="14" t="n">
        <x:v>45282</x:v>
      </x:c>
      <x:c r="F142" t="str">
        <x:v>2023-12</x:v>
      </x:c>
      <x:c r="G142" t="str">
        <x:v>partner</x:v>
      </x:c>
      <x:c r="H142" t="str">
        <x:v>Basic</x:v>
      </x:c>
      <x:c r="I142" t="n">
        <x:v>31</x:v>
      </x:c>
      <x:c r="J142" s="1" t="b">
        <x:v>0</x:v>
      </x:c>
      <x:c r="K142" t="str">
        <x:v>Churned</x:v>
      </x:c>
      <x:c r="L142" t="n">
        <x:v>375</x:v>
      </x:c>
      <x:c r="M142" t="str"/>
      <x:c r="N142" t="n">
        <x:v>0</x:v>
      </x:c>
      <x:c r="O142" t="n">
        <x:v>15</x:v>
      </x:c>
      <x:c r="P142" s="16" t="n">
        <x:v>44077</x:v>
      </x:c>
      <x:c r="Q142" t="n">
        <x:v>0</x:v>
      </x:c>
      <x:c r="R142" t="n">
        <x:v>2</x:v>
      </x:c>
      <x:c r="S142" t="n">
        <x:v>685</x:v>
      </x:c>
      <x:c r="T142" s="18" t="n">
        <x:v>57.47027777777778</x:v>
      </x:c>
      <x:c r="U142" t="n">
        <x:v>45</x:v>
      </x:c>
      <x:c r="V142" t="n">
        <x:v>30</x:v>
      </x:c>
      <x:c r="W142" t="n">
        <x:v>6</x:v>
      </x:c>
      <x:c r="X142" s="18" t="n">
        <x:v>37.833333333333336</x:v>
      </x:c>
      <x:c r="Y142" s="18" t="n">
        <x:v>67.83333333333333</x:v>
      </x:c>
      <x:c r="Z142" s="18" t="n">
        <x:v>5</x:v>
      </x:c>
      <x:c r="AA142" t="n">
        <x:v>1</x:v>
      </x:c>
    </x:row>
    <x:row r="143">
      <x:c r="A143" t="str">
        <x:v>A-7da956</x:v>
      </x:c>
      <x:c r="B143" t="str">
        <x:v>Company_141</x:v>
      </x:c>
      <x:c r="C143" t="str">
        <x:v>Cybersecurity</x:v>
      </x:c>
      <x:c r="D143" t="str">
        <x:v>US</x:v>
      </x:c>
      <x:c r="E143" s="14" t="n">
        <x:v>45445</x:v>
      </x:c>
      <x:c r="F143" t="str">
        <x:v>2024-06</x:v>
      </x:c>
      <x:c r="G143" t="str">
        <x:v>event</x:v>
      </x:c>
      <x:c r="H143" t="str">
        <x:v>Pro</x:v>
      </x:c>
      <x:c r="I143" t="n">
        <x:v>13</x:v>
      </x:c>
      <x:c r="J143" s="1" t="b">
        <x:v>1</x:v>
      </x:c>
      <x:c r="K143" t="str">
        <x:v>Active</x:v>
      </x:c>
      <x:c r="L143" t="n">
        <x:v>212</x:v>
      </x:c>
      <x:c r="M143" t="str"/>
      <x:c r="N143" t="n">
        <x:v>0</x:v>
      </x:c>
      <x:c r="O143" t="n">
        <x:v>12</x:v>
      </x:c>
      <x:c r="P143" s="16" t="n">
        <x:v>7930</x:v>
      </x:c>
      <x:c r="Q143" t="n">
        <x:v>1</x:v>
      </x:c>
      <x:c r="R143" t="n">
        <x:v>2</x:v>
      </x:c>
      <x:c r="S143" t="n">
        <x:v>543</x:v>
      </x:c>
      <x:c r="T143" s="18" t="n">
        <x:v>41.78638888888889</x:v>
      </x:c>
      <x:c r="U143" t="n">
        <x:v>35</x:v>
      </x:c>
      <x:c r="V143" t="n">
        <x:v>28</x:v>
      </x:c>
      <x:c r="W143" t="n">
        <x:v>3</x:v>
      </x:c>
      <x:c r="X143" s="18" t="n">
        <x:v>32.666666666666664</x:v>
      </x:c>
      <x:c r="Y143" s="18" t="n">
        <x:v>88</x:v>
      </x:c>
      <x:c r="Z143" s="18" t="n">
        <x:v>5</x:v>
      </x:c>
      <x:c r="AA143" t="n">
        <x:v>0</x:v>
      </x:c>
    </x:row>
    <x:row r="144">
      <x:c r="A144" t="str">
        <x:v>A-019782</x:v>
      </x:c>
      <x:c r="B144" t="str">
        <x:v>Company_142</x:v>
      </x:c>
      <x:c r="C144" t="str">
        <x:v>DevTools</x:v>
      </x:c>
      <x:c r="D144" t="str">
        <x:v>FR</x:v>
      </x:c>
      <x:c r="E144" s="14" t="n">
        <x:v>45035</x:v>
      </x:c>
      <x:c r="F144" t="str">
        <x:v>2023-04</x:v>
      </x:c>
      <x:c r="G144" t="str">
        <x:v>event</x:v>
      </x:c>
      <x:c r="H144" t="str">
        <x:v>Enterprise</x:v>
      </x:c>
      <x:c r="I144" t="n">
        <x:v>11</x:v>
      </x:c>
      <x:c r="J144" s="1" t="b">
        <x:v>0</x:v>
      </x:c>
      <x:c r="K144" t="str">
        <x:v>Active</x:v>
      </x:c>
      <x:c r="L144" t="n">
        <x:v>622</x:v>
      </x:c>
      <x:c r="M144" t="str"/>
      <x:c r="N144" t="n">
        <x:v>0</x:v>
      </x:c>
      <x:c r="O144" t="n">
        <x:v>9</x:v>
      </x:c>
      <x:c r="P144" s="16" t="n">
        <x:v>5169</x:v>
      </x:c>
      <x:c r="Q144" t="n">
        <x:v>1</x:v>
      </x:c>
      <x:c r="R144" t="n">
        <x:v>0</x:v>
      </x:c>
      <x:c r="S144" t="n">
        <x:v>562</x:v>
      </x:c>
      <x:c r="T144" s="18" t="n">
        <x:v>44.68</x:v>
      </x:c>
      <x:c r="U144" t="n">
        <x:v>30</x:v>
      </x:c>
      <x:c r="V144" t="n">
        <x:v>28</x:v>
      </x:c>
      <x:c r="W144" t="n">
        <x:v>2</x:v>
      </x:c>
      <x:c r="X144" s="18" t="n">
        <x:v>10</x:v>
      </x:c>
      <x:c r="Y144" s="18" t="n">
        <x:v>107</x:v>
      </x:c>
      <x:c r="Z144" s="18" t="n">
        <x:v>3</x:v>
      </x:c>
      <x:c r="AA144" t="n">
        <x:v>0</x:v>
      </x:c>
    </x:row>
    <x:row r="145">
      <x:c r="A145" t="str">
        <x:v>A-df10db</x:v>
      </x:c>
      <x:c r="B145" t="str">
        <x:v>Company_143</x:v>
      </x:c>
      <x:c r="C145" t="str">
        <x:v>DevTools</x:v>
      </x:c>
      <x:c r="D145" t="str">
        <x:v>US</x:v>
      </x:c>
      <x:c r="E145" s="14" t="n">
        <x:v>45083</x:v>
      </x:c>
      <x:c r="F145" t="str">
        <x:v>2023-06</x:v>
      </x:c>
      <x:c r="G145" t="str">
        <x:v>other</x:v>
      </x:c>
      <x:c r="H145" t="str">
        <x:v>Enterprise</x:v>
      </x:c>
      <x:c r="I145" t="n">
        <x:v>2</x:v>
      </x:c>
      <x:c r="J145" s="1" t="b">
        <x:v>1</x:v>
      </x:c>
      <x:c r="K145" t="str">
        <x:v>Active</x:v>
      </x:c>
      <x:c r="L145" t="n">
        <x:v>574</x:v>
      </x:c>
      <x:c r="M145" t="str"/>
      <x:c r="N145" t="n">
        <x:v>2</x:v>
      </x:c>
      <x:c r="O145" t="n">
        <x:v>11</x:v>
      </x:c>
      <x:c r="P145" s="16" t="n">
        <x:v>11464</x:v>
      </x:c>
      <x:c r="Q145" t="n">
        <x:v>2</x:v>
      </x:c>
      <x:c r="R145" t="n">
        <x:v>0</x:v>
      </x:c>
      <x:c r="S145" t="n">
        <x:v>697</x:v>
      </x:c>
      <x:c r="T145" s="18" t="n">
        <x:v>59.715555555555554</x:v>
      </x:c>
      <x:c r="U145" t="n">
        <x:v>40</x:v>
      </x:c>
      <x:c r="V145" t="n">
        <x:v>31</x:v>
      </x:c>
      <x:c r="W145" t="n">
        <x:v>2</x:v>
      </x:c>
      <x:c r="X145" s="18" t="n">
        <x:v>68.5</x:v>
      </x:c>
      <x:c r="Y145" s="18" t="n">
        <x:v>86.5</x:v>
      </x:c>
      <x:c r="Z145" s="18" t="n">
        <x:v>3</x:v>
      </x:c>
      <x:c r="AA145" t="n">
        <x:v>1</x:v>
      </x:c>
    </x:row>
    <x:row r="146">
      <x:c r="A146" t="str">
        <x:v>A-3932db</x:v>
      </x:c>
      <x:c r="B146" t="str">
        <x:v>Company_144</x:v>
      </x:c>
      <x:c r="C146" t="str">
        <x:v>HealthTech</x:v>
      </x:c>
      <x:c r="D146" t="str">
        <x:v>CA</x:v>
      </x:c>
      <x:c r="E146" s="14" t="n">
        <x:v>45203</x:v>
      </x:c>
      <x:c r="F146" t="str">
        <x:v>2023-10</x:v>
      </x:c>
      <x:c r="G146" t="str">
        <x:v>other</x:v>
      </x:c>
      <x:c r="H146" t="str">
        <x:v>Pro</x:v>
      </x:c>
      <x:c r="I146" t="n">
        <x:v>19</x:v>
      </x:c>
      <x:c r="J146" s="1" t="b">
        <x:v>1</x:v>
      </x:c>
      <x:c r="K146" t="str">
        <x:v>Churned</x:v>
      </x:c>
      <x:c r="L146" t="n">
        <x:v>454</x:v>
      </x:c>
      <x:c r="M146" t="str"/>
      <x:c r="N146" t="n">
        <x:v>0</x:v>
      </x:c>
      <x:c r="O146" t="n">
        <x:v>9</x:v>
      </x:c>
      <x:c r="P146" s="16" t="n">
        <x:v>14087</x:v>
      </x:c>
      <x:c r="Q146" t="n">
        <x:v>2</x:v>
      </x:c>
      <x:c r="R146" t="n">
        <x:v>1</x:v>
      </x:c>
      <x:c r="S146" t="n">
        <x:v>434</x:v>
      </x:c>
      <x:c r="T146" s="18" t="n">
        <x:v>37.48972222222222</x:v>
      </x:c>
      <x:c r="U146" t="n">
        <x:v>28</x:v>
      </x:c>
      <x:c r="V146" t="n">
        <x:v>28</x:v>
      </x:c>
      <x:c r="W146" t="n">
        <x:v>6</x:v>
      </x:c>
      <x:c r="X146" s="18" t="n">
        <x:v>41</x:v>
      </x:c>
      <x:c r="Y146" s="18" t="n">
        <x:v>86.5</x:v>
      </x:c>
      <x:c r="Z146" s="18" t="n">
        <x:v>4.333333333333333</x:v>
      </x:c>
      <x:c r="AA146" t="n">
        <x:v>0</x:v>
      </x:c>
    </x:row>
    <x:row r="147">
      <x:c r="A147" t="str">
        <x:v>A-4f18f0</x:v>
      </x:c>
      <x:c r="B147" t="str">
        <x:v>Company_145</x:v>
      </x:c>
      <x:c r="C147" t="str">
        <x:v>DevTools</x:v>
      </x:c>
      <x:c r="D147" t="str">
        <x:v>CA</x:v>
      </x:c>
      <x:c r="E147" s="14" t="n">
        <x:v>45403</x:v>
      </x:c>
      <x:c r="F147" t="str">
        <x:v>2024-04</x:v>
      </x:c>
      <x:c r="G147" t="str">
        <x:v>other</x:v>
      </x:c>
      <x:c r="H147" t="str">
        <x:v>Pro</x:v>
      </x:c>
      <x:c r="I147" t="n">
        <x:v>24</x:v>
      </x:c>
      <x:c r="J147" s="1" t="b">
        <x:v>1</x:v>
      </x:c>
      <x:c r="K147" t="str">
        <x:v>Active</x:v>
      </x:c>
      <x:c r="L147" t="n">
        <x:v>254</x:v>
      </x:c>
      <x:c r="M147" t="str"/>
      <x:c r="N147" t="n">
        <x:v>2</x:v>
      </x:c>
      <x:c r="O147" t="n">
        <x:v>12</x:v>
      </x:c>
      <x:c r="P147" s="16" t="n">
        <x:v>29333</x:v>
      </x:c>
      <x:c r="Q147" t="n">
        <x:v>0</x:v>
      </x:c>
      <x:c r="R147" t="n">
        <x:v>1</x:v>
      </x:c>
      <x:c r="S147" t="n">
        <x:v>544</x:v>
      </x:c>
      <x:c r="T147" s="18" t="n">
        <x:v>46.68083333333333</x:v>
      </x:c>
      <x:c r="U147" t="n">
        <x:v>25</x:v>
      </x:c>
      <x:c r="V147" t="n">
        <x:v>33</x:v>
      </x:c>
      <x:c r="W147" t="n">
        <x:v>5</x:v>
      </x:c>
      <x:c r="X147" s="18" t="n">
        <x:v>39.2</x:v>
      </x:c>
      <x:c r="Y147" s="18" t="n">
        <x:v>61.4</x:v>
      </x:c>
      <x:c r="Z147" s="18" t="n">
        <x:v>4</x:v>
      </x:c>
      <x:c r="AA147" t="n">
        <x:v>0</x:v>
      </x:c>
    </x:row>
    <x:row r="148">
      <x:c r="A148" t="str">
        <x:v>A-4c6f11</x:v>
      </x:c>
      <x:c r="B148" t="str">
        <x:v>Company_146</x:v>
      </x:c>
      <x:c r="C148" t="str">
        <x:v>FinTech</x:v>
      </x:c>
      <x:c r="D148" t="str">
        <x:v>CA</x:v>
      </x:c>
      <x:c r="E148" s="14" t="n">
        <x:v>45257</x:v>
      </x:c>
      <x:c r="F148" t="str">
        <x:v>2023-11</x:v>
      </x:c>
      <x:c r="G148" t="str">
        <x:v>organic</x:v>
      </x:c>
      <x:c r="H148" t="str">
        <x:v>Pro</x:v>
      </x:c>
      <x:c r="I148" t="n">
        <x:v>24</x:v>
      </x:c>
      <x:c r="J148" s="1" t="b">
        <x:v>1</x:v>
      </x:c>
      <x:c r="K148" t="str">
        <x:v>Churned</x:v>
      </x:c>
      <x:c r="L148" t="n">
        <x:v>326</x:v>
      </x:c>
      <x:c r="M148" t="str">
        <x:v>competitor</x:v>
      </x:c>
      <x:c r="N148" t="n">
        <x:v>2</x:v>
      </x:c>
      <x:c r="O148" t="n">
        <x:v>5</x:v>
      </x:c>
      <x:c r="P148" s="16" t="n">
        <x:v>7586</x:v>
      </x:c>
      <x:c r="Q148" t="n">
        <x:v>0</x:v>
      </x:c>
      <x:c r="R148" t="n">
        <x:v>1</x:v>
      </x:c>
      <x:c r="S148" t="n">
        <x:v>268</x:v>
      </x:c>
      <x:c r="T148" s="18" t="n">
        <x:v>23.570833333333333</x:v>
      </x:c>
      <x:c r="U148" t="n">
        <x:v>4</x:v>
      </x:c>
      <x:c r="V148" t="n">
        <x:v>20</x:v>
      </x:c>
      <x:c r="W148" t="n">
        <x:v>3</x:v>
      </x:c>
      <x:c r="X148" s="18" t="n">
        <x:v>44.666666666666664</x:v>
      </x:c>
      <x:c r="Y148" s="18" t="n">
        <x:v>63</x:v>
      </x:c>
      <x:c r="Z148" s="18" t="n">
        <x:v>4.333333333333333</x:v>
      </x:c>
      <x:c r="AA148" t="n">
        <x:v>0</x:v>
      </x:c>
    </x:row>
    <x:row r="149">
      <x:c r="A149" t="str">
        <x:v>A-8ae05d</x:v>
      </x:c>
      <x:c r="B149" t="str">
        <x:v>Company_147</x:v>
      </x:c>
      <x:c r="C149" t="str">
        <x:v>FinTech</x:v>
      </x:c>
      <x:c r="D149" t="str">
        <x:v>IN</x:v>
      </x:c>
      <x:c r="E149" s="14" t="n">
        <x:v>45388</x:v>
      </x:c>
      <x:c r="F149" t="str">
        <x:v>2024-04</x:v>
      </x:c>
      <x:c r="G149" t="str">
        <x:v>other</x:v>
      </x:c>
      <x:c r="H149" t="str">
        <x:v>Enterprise</x:v>
      </x:c>
      <x:c r="I149" t="n">
        <x:v>86</x:v>
      </x:c>
      <x:c r="J149" s="1" t="b">
        <x:v>0</x:v>
      </x:c>
      <x:c r="K149" t="str">
        <x:v>Active</x:v>
      </x:c>
      <x:c r="L149" t="n">
        <x:v>269</x:v>
      </x:c>
      <x:c r="M149" t="str"/>
      <x:c r="N149" t="n">
        <x:v>1</x:v>
      </x:c>
      <x:c r="O149" t="n">
        <x:v>7</x:v>
      </x:c>
      <x:c r="P149" s="16" t="n">
        <x:v>9116</x:v>
      </x:c>
      <x:c r="Q149" t="n">
        <x:v>0</x:v>
      </x:c>
      <x:c r="R149" t="n">
        <x:v>0</x:v>
      </x:c>
      <x:c r="S149" t="n">
        <x:v>203</x:v>
      </x:c>
      <x:c r="T149" s="18" t="n">
        <x:v>21.512777777777778</x:v>
      </x:c>
      <x:c r="U149" t="n">
        <x:v>10</x:v>
      </x:c>
      <x:c r="V149" t="n">
        <x:v>16</x:v>
      </x:c>
      <x:c r="W149" t="n">
        <x:v>1</x:v>
      </x:c>
      <x:c r="X149" s="18" t="n">
        <x:v>47</x:v>
      </x:c>
      <x:c r="Y149" s="18" t="n">
        <x:v>48</x:v>
      </x:c>
      <x:c r="Z149" s="18" t="n">
        <x:v>4</x:v>
      </x:c>
      <x:c r="AA149" t="n">
        <x:v>0</x:v>
      </x:c>
    </x:row>
    <x:row r="150">
      <x:c r="A150" t="str">
        <x:v>A-b78bf8</x:v>
      </x:c>
      <x:c r="B150" t="str">
        <x:v>Company_148</x:v>
      </x:c>
      <x:c r="C150" t="str">
        <x:v>DevTools</x:v>
      </x:c>
      <x:c r="D150" t="str">
        <x:v>US</x:v>
      </x:c>
      <x:c r="E150" s="14" t="n">
        <x:v>45611</x:v>
      </x:c>
      <x:c r="F150" t="str">
        <x:v>2024-11</x:v>
      </x:c>
      <x:c r="G150" t="str">
        <x:v>event</x:v>
      </x:c>
      <x:c r="H150" t="str">
        <x:v>Pro</x:v>
      </x:c>
      <x:c r="I150" t="n">
        <x:v>33</x:v>
      </x:c>
      <x:c r="J150" s="1" t="b">
        <x:v>0</x:v>
      </x:c>
      <x:c r="K150" t="str">
        <x:v>Active</x:v>
      </x:c>
      <x:c r="L150" t="n">
        <x:v>46</x:v>
      </x:c>
      <x:c r="M150" t="str"/>
      <x:c r="N150" t="n">
        <x:v>1</x:v>
      </x:c>
      <x:c r="O150" t="n">
        <x:v>8</x:v>
      </x:c>
      <x:c r="P150" s="16" t="n">
        <x:v>22423</x:v>
      </x:c>
      <x:c r="Q150" t="n">
        <x:v>1</x:v>
      </x:c>
      <x:c r="R150" t="n">
        <x:v>1</x:v>
      </x:c>
      <x:c r="S150" t="n">
        <x:v>421</x:v>
      </x:c>
      <x:c r="T150" s="18" t="n">
        <x:v>34.38944444444444</x:v>
      </x:c>
      <x:c r="U150" t="n">
        <x:v>11</x:v>
      </x:c>
      <x:c r="V150" t="n">
        <x:v>24</x:v>
      </x:c>
      <x:c r="W150" t="n">
        <x:v>5</x:v>
      </x:c>
      <x:c r="X150" s="18" t="n">
        <x:v>24.2</x:v>
      </x:c>
      <x:c r="Y150" s="18" t="n">
        <x:v>88.8</x:v>
      </x:c>
      <x:c r="Z150" s="18" t="n">
        <x:v>4.2</x:v>
      </x:c>
      <x:c r="AA150" t="n">
        <x:v>0</x:v>
      </x:c>
    </x:row>
    <x:row r="151">
      <x:c r="A151" t="str">
        <x:v>A-eafc6e</x:v>
      </x:c>
      <x:c r="B151" t="str">
        <x:v>Company_149</x:v>
      </x:c>
      <x:c r="C151" t="str">
        <x:v>DevTools</x:v>
      </x:c>
      <x:c r="D151" t="str">
        <x:v>US</x:v>
      </x:c>
      <x:c r="E151" s="14" t="n">
        <x:v>45113</x:v>
      </x:c>
      <x:c r="F151" t="str">
        <x:v>2023-07</x:v>
      </x:c>
      <x:c r="G151" t="str">
        <x:v>partner</x:v>
      </x:c>
      <x:c r="H151" t="str">
        <x:v>Pro</x:v>
      </x:c>
      <x:c r="I151" t="n">
        <x:v>27</x:v>
      </x:c>
      <x:c r="J151" s="1" t="b">
        <x:v>0</x:v>
      </x:c>
      <x:c r="K151" t="str">
        <x:v>Churned</x:v>
      </x:c>
      <x:c r="L151" t="n">
        <x:v>525</x:v>
      </x:c>
      <x:c r="M151" t="str">
        <x:v>unknown</x:v>
      </x:c>
      <x:c r="N151" t="n">
        <x:v>2</x:v>
      </x:c>
      <x:c r="O151" t="n">
        <x:v>7</x:v>
      </x:c>
      <x:c r="P151" s="16" t="n">
        <x:v>16229</x:v>
      </x:c>
      <x:c r="Q151" t="n">
        <x:v>0</x:v>
      </x:c>
      <x:c r="R151" t="n">
        <x:v>0</x:v>
      </x:c>
      <x:c r="S151" t="n">
        <x:v>300</x:v>
      </x:c>
      <x:c r="T151" s="18" t="n">
        <x:v>25.060555555555556</x:v>
      </x:c>
      <x:c r="U151" t="n">
        <x:v>15</x:v>
      </x:c>
      <x:c r="V151" t="n">
        <x:v>23</x:v>
      </x:c>
      <x:c r="W151" t="n">
        <x:v>1</x:v>
      </x:c>
      <x:c r="X151" s="18" t="n">
        <x:v>64</x:v>
      </x:c>
      <x:c r="Y151" s="18" t="n">
        <x:v>136</x:v>
      </x:c>
      <x:c r="Z151" s="18"/>
      <x:c r="AA151" t="n">
        <x:v>0</x:v>
      </x:c>
    </x:row>
    <x:row r="152">
      <x:c r="A152" t="str">
        <x:v>A-37f969</x:v>
      </x:c>
      <x:c r="B152" t="str">
        <x:v>Company_150</x:v>
      </x:c>
      <x:c r="C152" t="str">
        <x:v>HealthTech</x:v>
      </x:c>
      <x:c r="D152" t="str">
        <x:v>IN</x:v>
      </x:c>
      <x:c r="E152" s="14" t="n">
        <x:v>45213</x:v>
      </x:c>
      <x:c r="F152" t="str">
        <x:v>2023-10</x:v>
      </x:c>
      <x:c r="G152" t="str">
        <x:v>partner</x:v>
      </x:c>
      <x:c r="H152" t="str">
        <x:v>Enterprise</x:v>
      </x:c>
      <x:c r="I152" t="n">
        <x:v>30</x:v>
      </x:c>
      <x:c r="J152" s="1" t="b">
        <x:v>0</x:v>
      </x:c>
      <x:c r="K152" t="str">
        <x:v>Active</x:v>
      </x:c>
      <x:c r="L152" t="n">
        <x:v>444</x:v>
      </x:c>
      <x:c r="M152" t="str"/>
      <x:c r="N152" t="n">
        <x:v>4</x:v>
      </x:c>
      <x:c r="O152" t="n">
        <x:v>8</x:v>
      </x:c>
      <x:c r="P152" s="16" t="n">
        <x:v>22959</x:v>
      </x:c>
      <x:c r="Q152" t="n">
        <x:v>2</x:v>
      </x:c>
      <x:c r="R152" t="n">
        <x:v>0</x:v>
      </x:c>
      <x:c r="S152" t="n">
        <x:v>312</x:v>
      </x:c>
      <x:c r="T152" s="18" t="n">
        <x:v>29.95888888888889</x:v>
      </x:c>
      <x:c r="U152" t="n">
        <x:v>14</x:v>
      </x:c>
      <x:c r="V152" t="n">
        <x:v>25</x:v>
      </x:c>
      <x:c r="W152" t="n">
        <x:v>5</x:v>
      </x:c>
      <x:c r="X152" s="18" t="n">
        <x:v>22.2</x:v>
      </x:c>
      <x:c r="Y152" s="18" t="n">
        <x:v>94</x:v>
      </x:c>
      <x:c r="Z152" s="18" t="n">
        <x:v>3.6666666666666665</x:v>
      </x:c>
      <x:c r="AA152" t="n">
        <x:v>1</x:v>
      </x:c>
    </x:row>
    <x:row r="153">
      <x:c r="A153" t="str">
        <x:v>A-10b8f2</x:v>
      </x:c>
      <x:c r="B153" t="str">
        <x:v>Company_151</x:v>
      </x:c>
      <x:c r="C153" t="str">
        <x:v>HealthTech</x:v>
      </x:c>
      <x:c r="D153" t="str">
        <x:v>DE</x:v>
      </x:c>
      <x:c r="E153" s="14" t="n">
        <x:v>44937</x:v>
      </x:c>
      <x:c r="F153" t="str">
        <x:v>2023-01</x:v>
      </x:c>
      <x:c r="G153" t="str">
        <x:v>organic</x:v>
      </x:c>
      <x:c r="H153" t="str">
        <x:v>Basic</x:v>
      </x:c>
      <x:c r="I153" t="n">
        <x:v>47</x:v>
      </x:c>
      <x:c r="J153" s="1" t="b">
        <x:v>1</x:v>
      </x:c>
      <x:c r="K153" t="str">
        <x:v>Active</x:v>
      </x:c>
      <x:c r="L153" t="n">
        <x:v>720</x:v>
      </x:c>
      <x:c r="M153" t="str"/>
      <x:c r="N153" t="n">
        <x:v>1</x:v>
      </x:c>
      <x:c r="O153" t="n">
        <x:v>12</x:v>
      </x:c>
      <x:c r="P153" s="16" t="n">
        <x:v>30719</x:v>
      </x:c>
      <x:c r="Q153" t="n">
        <x:v>1</x:v>
      </x:c>
      <x:c r="R153" t="n">
        <x:v>0</x:v>
      </x:c>
      <x:c r="S153" t="n">
        <x:v>560</x:v>
      </x:c>
      <x:c r="T153" s="18" t="n">
        <x:v>48.10638888888889</x:v>
      </x:c>
      <x:c r="U153" t="n">
        <x:v>23</x:v>
      </x:c>
      <x:c r="V153" t="n">
        <x:v>29</x:v>
      </x:c>
      <x:c r="W153" t="n">
        <x:v>3</x:v>
      </x:c>
      <x:c r="X153" s="18" t="n">
        <x:v>46.333333333333336</x:v>
      </x:c>
      <x:c r="Y153" s="18" t="n">
        <x:v>67</x:v>
      </x:c>
      <x:c r="Z153" s="18" t="n">
        <x:v>4.333333333333333</x:v>
      </x:c>
      <x:c r="AA153" t="n">
        <x:v>0</x:v>
      </x:c>
    </x:row>
    <x:row r="154">
      <x:c r="A154" t="str">
        <x:v>A-439b2f</x:v>
      </x:c>
      <x:c r="B154" t="str">
        <x:v>Company_152</x:v>
      </x:c>
      <x:c r="C154" t="str">
        <x:v>DevTools</x:v>
      </x:c>
      <x:c r="D154" t="str">
        <x:v>US</x:v>
      </x:c>
      <x:c r="E154" s="14" t="n">
        <x:v>45343</x:v>
      </x:c>
      <x:c r="F154" t="str">
        <x:v>2024-02</x:v>
      </x:c>
      <x:c r="G154" t="str">
        <x:v>ads</x:v>
      </x:c>
      <x:c r="H154" t="str">
        <x:v>Enterprise</x:v>
      </x:c>
      <x:c r="I154" t="n">
        <x:v>1</x:v>
      </x:c>
      <x:c r="J154" s="1" t="b">
        <x:v>0</x:v>
      </x:c>
      <x:c r="K154" t="str">
        <x:v>Churned</x:v>
      </x:c>
      <x:c r="L154" t="n">
        <x:v>271</x:v>
      </x:c>
      <x:c r="M154" t="str">
        <x:v>features</x:v>
      </x:c>
      <x:c r="N154" t="n">
        <x:v>2</x:v>
      </x:c>
      <x:c r="O154" t="n">
        <x:v>6</x:v>
      </x:c>
      <x:c r="P154" s="16" t="n">
        <x:v>1796</x:v>
      </x:c>
      <x:c r="Q154" t="n">
        <x:v>1</x:v>
      </x:c>
      <x:c r="R154" t="n">
        <x:v>0</x:v>
      </x:c>
      <x:c r="S154" t="n">
        <x:v>171</x:v>
      </x:c>
      <x:c r="T154" s="18" t="n">
        <x:v>15.075277777777778</x:v>
      </x:c>
      <x:c r="U154" t="n">
        <x:v>5</x:v>
      </x:c>
      <x:c r="V154" t="n">
        <x:v>14</x:v>
      </x:c>
      <x:c r="W154" t="n">
        <x:v>3</x:v>
      </x:c>
      <x:c r="X154" s="18" t="n">
        <x:v>18.333333333333332</x:v>
      </x:c>
      <x:c r="Y154" s="18" t="n">
        <x:v>85.33333333333333</x:v>
      </x:c>
      <x:c r="Z154" s="18"/>
      <x:c r="AA154" t="n">
        <x:v>0</x:v>
      </x:c>
    </x:row>
    <x:row r="155">
      <x:c r="A155" t="str">
        <x:v>A-544d0a</x:v>
      </x:c>
      <x:c r="B155" t="str">
        <x:v>Company_153</x:v>
      </x:c>
      <x:c r="C155" t="str">
        <x:v>DevTools</x:v>
      </x:c>
      <x:c r="D155" t="str">
        <x:v>US</x:v>
      </x:c>
      <x:c r="E155" s="14" t="n">
        <x:v>45414</x:v>
      </x:c>
      <x:c r="F155" t="str">
        <x:v>2024-05</x:v>
      </x:c>
      <x:c r="G155" t="str">
        <x:v>organic</x:v>
      </x:c>
      <x:c r="H155" t="str">
        <x:v>Basic</x:v>
      </x:c>
      <x:c r="I155" t="n">
        <x:v>2</x:v>
      </x:c>
      <x:c r="J155" s="1" t="b">
        <x:v>1</x:v>
      </x:c>
      <x:c r="K155" t="str">
        <x:v>Active</x:v>
      </x:c>
      <x:c r="L155" t="n">
        <x:v>243</x:v>
      </x:c>
      <x:c r="M155" t="str"/>
      <x:c r="N155" t="n">
        <x:v>0</x:v>
      </x:c>
      <x:c r="O155" t="n">
        <x:v>10</x:v>
      </x:c>
      <x:c r="P155" s="16" t="n">
        <x:v>18492</x:v>
      </x:c>
      <x:c r="Q155" t="n">
        <x:v>1</x:v>
      </x:c>
      <x:c r="R155" t="n">
        <x:v>2</x:v>
      </x:c>
      <x:c r="S155" t="n">
        <x:v>510</x:v>
      </x:c>
      <x:c r="T155" s="18" t="n">
        <x:v>42.45166666666667</x:v>
      </x:c>
      <x:c r="U155" t="n">
        <x:v>22</x:v>
      </x:c>
      <x:c r="V155" t="n">
        <x:v>27</x:v>
      </x:c>
      <x:c r="W155" t="n">
        <x:v>2</x:v>
      </x:c>
      <x:c r="X155" s="18" t="n">
        <x:v>38.5</x:v>
      </x:c>
      <x:c r="Y155" s="18" t="n">
        <x:v>98</x:v>
      </x:c>
      <x:c r="Z155" s="18" t="n">
        <x:v>4</x:v>
      </x:c>
      <x:c r="AA155" t="n">
        <x:v>1</x:v>
      </x:c>
    </x:row>
    <x:row r="156">
      <x:c r="A156" t="str">
        <x:v>A-ba6516</x:v>
      </x:c>
      <x:c r="B156" t="str">
        <x:v>Company_154</x:v>
      </x:c>
      <x:c r="C156" t="str">
        <x:v>FinTech</x:v>
      </x:c>
      <x:c r="D156" t="str">
        <x:v>US</x:v>
      </x:c>
      <x:c r="E156" s="14" t="n">
        <x:v>45228</x:v>
      </x:c>
      <x:c r="F156" t="str">
        <x:v>2023-10</x:v>
      </x:c>
      <x:c r="G156" t="str">
        <x:v>ads</x:v>
      </x:c>
      <x:c r="H156" t="str">
        <x:v>Pro</x:v>
      </x:c>
      <x:c r="I156" t="n">
        <x:v>27</x:v>
      </x:c>
      <x:c r="J156" s="1" t="b">
        <x:v>0</x:v>
      </x:c>
      <x:c r="K156" t="str">
        <x:v>Active</x:v>
      </x:c>
      <x:c r="L156" t="n">
        <x:v>429</x:v>
      </x:c>
      <x:c r="M156" t="str"/>
      <x:c r="N156" t="n">
        <x:v>1</x:v>
      </x:c>
      <x:c r="O156" t="n">
        <x:v>13</x:v>
      </x:c>
      <x:c r="P156" s="16" t="n">
        <x:v>28379</x:v>
      </x:c>
      <x:c r="Q156" t="n">
        <x:v>1</x:v>
      </x:c>
      <x:c r="R156" t="n">
        <x:v>3</x:v>
      </x:c>
      <x:c r="S156" t="n">
        <x:v>642</x:v>
      </x:c>
      <x:c r="T156" s="18" t="n">
        <x:v>59.32055555555556</x:v>
      </x:c>
      <x:c r="U156" t="n">
        <x:v>32</x:v>
      </x:c>
      <x:c r="V156" t="n">
        <x:v>31</x:v>
      </x:c>
      <x:c r="W156" t="n">
        <x:v>6</x:v>
      </x:c>
      <x:c r="X156" s="18" t="n">
        <x:v>31.5</x:v>
      </x:c>
      <x:c r="Y156" s="18" t="n">
        <x:v>71</x:v>
      </x:c>
      <x:c r="Z156" s="18" t="n">
        <x:v>4</x:v>
      </x:c>
      <x:c r="AA156" t="n">
        <x:v>0</x:v>
      </x:c>
    </x:row>
    <x:row r="157">
      <x:c r="A157" t="str">
        <x:v>A-712426</x:v>
      </x:c>
      <x:c r="B157" t="str">
        <x:v>Company_155</x:v>
      </x:c>
      <x:c r="C157" t="str">
        <x:v>HealthTech</x:v>
      </x:c>
      <x:c r="D157" t="str">
        <x:v>US</x:v>
      </x:c>
      <x:c r="E157" s="14" t="n">
        <x:v>45606</x:v>
      </x:c>
      <x:c r="F157" t="str">
        <x:v>2024-11</x:v>
      </x:c>
      <x:c r="G157" t="str">
        <x:v>other</x:v>
      </x:c>
      <x:c r="H157" t="str">
        <x:v>Enterprise</x:v>
      </x:c>
      <x:c r="I157" t="n">
        <x:v>9</x:v>
      </x:c>
      <x:c r="J157" s="1" t="b">
        <x:v>0</x:v>
      </x:c>
      <x:c r="K157" t="str">
        <x:v>Active</x:v>
      </x:c>
      <x:c r="L157" t="n">
        <x:v>51</x:v>
      </x:c>
      <x:c r="M157" t="str"/>
      <x:c r="N157" t="n">
        <x:v>3</x:v>
      </x:c>
      <x:c r="O157" t="n">
        <x:v>15</x:v>
      </x:c>
      <x:c r="P157" s="16" t="n">
        <x:v>8671</x:v>
      </x:c>
      <x:c r="Q157" t="n">
        <x:v>2</x:v>
      </x:c>
      <x:c r="R157" t="n">
        <x:v>0</x:v>
      </x:c>
      <x:c r="S157" t="n">
        <x:v>696</x:v>
      </x:c>
      <x:c r="T157" s="18" t="n">
        <x:v>59.63361111111111</x:v>
      </x:c>
      <x:c r="U157" t="n">
        <x:v>31</x:v>
      </x:c>
      <x:c r="V157" t="n">
        <x:v>32</x:v>
      </x:c>
      <x:c r="W157" t="n">
        <x:v>6</x:v>
      </x:c>
      <x:c r="X157" s="18" t="n">
        <x:v>37.333333333333336</x:v>
      </x:c>
      <x:c r="Y157" s="18" t="n">
        <x:v>79.16666666666667</x:v>
      </x:c>
      <x:c r="Z157" s="18" t="n">
        <x:v>4.4</x:v>
      </x:c>
      <x:c r="AA157" t="n">
        <x:v>0</x:v>
      </x:c>
    </x:row>
    <x:row r="158">
      <x:c r="A158" t="str">
        <x:v>A-038089</x:v>
      </x:c>
      <x:c r="B158" t="str">
        <x:v>Company_156</x:v>
      </x:c>
      <x:c r="C158" t="str">
        <x:v>DevTools</x:v>
      </x:c>
      <x:c r="D158" t="str">
        <x:v>FR</x:v>
      </x:c>
      <x:c r="E158" s="14" t="n">
        <x:v>45279</x:v>
      </x:c>
      <x:c r="F158" t="str">
        <x:v>2023-12</x:v>
      </x:c>
      <x:c r="G158" t="str">
        <x:v>other</x:v>
      </x:c>
      <x:c r="H158" t="str">
        <x:v>Pro</x:v>
      </x:c>
      <x:c r="I158" t="n">
        <x:v>5</x:v>
      </x:c>
      <x:c r="J158" s="1" t="b">
        <x:v>0</x:v>
      </x:c>
      <x:c r="K158" t="str">
        <x:v>Churned</x:v>
      </x:c>
      <x:c r="L158" t="n">
        <x:v>372</x:v>
      </x:c>
      <x:c r="M158" t="str">
        <x:v>features</x:v>
      </x:c>
      <x:c r="N158" t="n">
        <x:v>2</x:v>
      </x:c>
      <x:c r="O158" t="n">
        <x:v>3</x:v>
      </x:c>
      <x:c r="P158" s="16" t="n">
        <x:v>2104</x:v>
      </x:c>
      <x:c r="Q158" t="n">
        <x:v>0</x:v>
      </x:c>
      <x:c r="R158" t="n">
        <x:v>0</x:v>
      </x:c>
      <x:c r="S158" t="n">
        <x:v>210</x:v>
      </x:c>
      <x:c r="T158" s="18" t="n">
        <x:v>17.686944444444446</x:v>
      </x:c>
      <x:c r="U158" t="n">
        <x:v>15</x:v>
      </x:c>
      <x:c r="V158" t="n">
        <x:v>15</x:v>
      </x:c>
      <x:c r="W158" t="n">
        <x:v>6</x:v>
      </x:c>
      <x:c r="X158" s="18" t="n">
        <x:v>30.166666666666668</x:v>
      </x:c>
      <x:c r="Y158" s="18" t="n">
        <x:v>86.16666666666667</x:v>
      </x:c>
      <x:c r="Z158" s="18" t="n">
        <x:v>3.6666666666666665</x:v>
      </x:c>
      <x:c r="AA158" t="n">
        <x:v>0</x:v>
      </x:c>
    </x:row>
    <x:row r="159">
      <x:c r="A159" t="str">
        <x:v>A-afa505</x:v>
      </x:c>
      <x:c r="B159" t="str">
        <x:v>Company_157</x:v>
      </x:c>
      <x:c r="C159" t="str">
        <x:v>DevTools</x:v>
      </x:c>
      <x:c r="D159" t="str">
        <x:v>US</x:v>
      </x:c>
      <x:c r="E159" s="14" t="n">
        <x:v>45287</x:v>
      </x:c>
      <x:c r="F159" t="str">
        <x:v>2023-12</x:v>
      </x:c>
      <x:c r="G159" t="str">
        <x:v>partner</x:v>
      </x:c>
      <x:c r="H159" t="str">
        <x:v>Basic</x:v>
      </x:c>
      <x:c r="I159" t="n">
        <x:v>70</x:v>
      </x:c>
      <x:c r="J159" s="1" t="b">
        <x:v>1</x:v>
      </x:c>
      <x:c r="K159" t="str">
        <x:v>Active</x:v>
      </x:c>
      <x:c r="L159" t="n">
        <x:v>370</x:v>
      </x:c>
      <x:c r="M159" t="str"/>
      <x:c r="N159" t="n">
        <x:v>1</x:v>
      </x:c>
      <x:c r="O159" t="n">
        <x:v>9</x:v>
      </x:c>
      <x:c r="P159" s="16" t="n">
        <x:v>62580</x:v>
      </x:c>
      <x:c r="Q159" t="n">
        <x:v>2</x:v>
      </x:c>
      <x:c r="R159" t="n">
        <x:v>1</x:v>
      </x:c>
      <x:c r="S159" t="n">
        <x:v>507</x:v>
      </x:c>
      <x:c r="T159" s="18" t="n">
        <x:v>45.18694444444444</x:v>
      </x:c>
      <x:c r="U159" t="n">
        <x:v>28</x:v>
      </x:c>
      <x:c r="V159" t="n">
        <x:v>33</x:v>
      </x:c>
      <x:c r="W159" t="n">
        <x:v>4</x:v>
      </x:c>
      <x:c r="X159" s="18" t="n">
        <x:v>37.25</x:v>
      </x:c>
      <x:c r="Y159" s="18" t="n">
        <x:v>88.25</x:v>
      </x:c>
      <x:c r="Z159" s="18" t="n">
        <x:v>3</x:v>
      </x:c>
      <x:c r="AA159" t="n">
        <x:v>1</x:v>
      </x:c>
    </x:row>
    <x:row r="160">
      <x:c r="A160" t="str">
        <x:v>A-d5a319</x:v>
      </x:c>
      <x:c r="B160" t="str">
        <x:v>Company_158</x:v>
      </x:c>
      <x:c r="C160" t="str">
        <x:v>FinTech</x:v>
      </x:c>
      <x:c r="D160" t="str">
        <x:v>US</x:v>
      </x:c>
      <x:c r="E160" s="14" t="n">
        <x:v>45050</x:v>
      </x:c>
      <x:c r="F160" t="str">
        <x:v>2023-05</x:v>
      </x:c>
      <x:c r="G160" t="str">
        <x:v>other</x:v>
      </x:c>
      <x:c r="H160" t="str">
        <x:v>Enterprise</x:v>
      </x:c>
      <x:c r="I160" t="n">
        <x:v>15</x:v>
      </x:c>
      <x:c r="J160" s="1" t="b">
        <x:v>0</x:v>
      </x:c>
      <x:c r="K160" t="str">
        <x:v>Churned</x:v>
      </x:c>
      <x:c r="L160" t="n">
        <x:v>607</x:v>
      </x:c>
      <x:c r="M160" t="str"/>
      <x:c r="N160" t="n">
        <x:v>0</x:v>
      </x:c>
      <x:c r="O160" t="n">
        <x:v>12</x:v>
      </x:c>
      <x:c r="P160" s="16" t="n">
        <x:v>37847</x:v>
      </x:c>
      <x:c r="Q160" t="n">
        <x:v>3</x:v>
      </x:c>
      <x:c r="R160" t="n">
        <x:v>2</x:v>
      </x:c>
      <x:c r="S160" t="n">
        <x:v>604</x:v>
      </x:c>
      <x:c r="T160" s="18" t="n">
        <x:v>59.07083333333333</x:v>
      </x:c>
      <x:c r="U160" t="n">
        <x:v>43</x:v>
      </x:c>
      <x:c r="V160" t="n">
        <x:v>32</x:v>
      </x:c>
      <x:c r="W160" t="n">
        <x:v>1</x:v>
      </x:c>
      <x:c r="X160" s="18" t="n">
        <x:v>17</x:v>
      </x:c>
      <x:c r="Y160" s="18" t="n">
        <x:v>132</x:v>
      </x:c>
      <x:c r="Z160" s="18" t="n">
        <x:v>4</x:v>
      </x:c>
      <x:c r="AA160" t="n">
        <x:v>1</x:v>
      </x:c>
    </x:row>
    <x:row r="161">
      <x:c r="A161" t="str">
        <x:v>A-f97b9a</x:v>
      </x:c>
      <x:c r="B161" t="str">
        <x:v>Company_159</x:v>
      </x:c>
      <x:c r="C161" t="str">
        <x:v>FinTech</x:v>
      </x:c>
      <x:c r="D161" t="str">
        <x:v>US</x:v>
      </x:c>
      <x:c r="E161" s="14" t="n">
        <x:v>45116</x:v>
      </x:c>
      <x:c r="F161" t="str">
        <x:v>2023-07</x:v>
      </x:c>
      <x:c r="G161" t="str">
        <x:v>event</x:v>
      </x:c>
      <x:c r="H161" t="str">
        <x:v>Pro</x:v>
      </x:c>
      <x:c r="I161" t="n">
        <x:v>16</x:v>
      </x:c>
      <x:c r="J161" s="1" t="b">
        <x:v>0</x:v>
      </x:c>
      <x:c r="K161" t="str">
        <x:v>Active</x:v>
      </x:c>
      <x:c r="L161" t="n">
        <x:v>541</x:v>
      </x:c>
      <x:c r="M161" t="str"/>
      <x:c r="N161" t="n">
        <x:v>0</x:v>
      </x:c>
      <x:c r="O161" t="n">
        <x:v>11</x:v>
      </x:c>
      <x:c r="P161" s="16" t="n">
        <x:v>23833</x:v>
      </x:c>
      <x:c r="Q161" t="n">
        <x:v>1</x:v>
      </x:c>
      <x:c r="R161" t="n">
        <x:v>0</x:v>
      </x:c>
      <x:c r="S161" t="n">
        <x:v>561</x:v>
      </x:c>
      <x:c r="T161" s="18" t="n">
        <x:v>48.1225</x:v>
      </x:c>
      <x:c r="U161" t="n">
        <x:v>33</x:v>
      </x:c>
      <x:c r="V161" t="n">
        <x:v>29</x:v>
      </x:c>
      <x:c r="W161" t="n">
        <x:v>7</x:v>
      </x:c>
      <x:c r="X161" s="18" t="n">
        <x:v>31.714285714285715</x:v>
      </x:c>
      <x:c r="Y161" s="18" t="n">
        <x:v>69.85714285714286</x:v>
      </x:c>
      <x:c r="Z161" s="18" t="n">
        <x:v>3.6666666666666665</x:v>
      </x:c>
      <x:c r="AA161" t="n">
        <x:v>0</x:v>
      </x:c>
    </x:row>
    <x:row r="162">
      <x:c r="A162" t="str">
        <x:v>A-2f6a32</x:v>
      </x:c>
      <x:c r="B162" t="str">
        <x:v>Company_160</x:v>
      </x:c>
      <x:c r="C162" t="str">
        <x:v>HealthTech</x:v>
      </x:c>
      <x:c r="D162" t="str">
        <x:v>US</x:v>
      </x:c>
      <x:c r="E162" s="14" t="n">
        <x:v>45530</x:v>
      </x:c>
      <x:c r="F162" t="str">
        <x:v>2024-08</x:v>
      </x:c>
      <x:c r="G162" t="str">
        <x:v>organic</x:v>
      </x:c>
      <x:c r="H162" t="str">
        <x:v>Basic</x:v>
      </x:c>
      <x:c r="I162" t="n">
        <x:v>19</x:v>
      </x:c>
      <x:c r="J162" s="1" t="b">
        <x:v>0</x:v>
      </x:c>
      <x:c r="K162" t="str">
        <x:v>Active</x:v>
      </x:c>
      <x:c r="L162" t="n">
        <x:v>127</x:v>
      </x:c>
      <x:c r="M162" t="str"/>
      <x:c r="N162" t="n">
        <x:v>0</x:v>
      </x:c>
      <x:c r="O162" t="n">
        <x:v>11</x:v>
      </x:c>
      <x:c r="P162" s="16" t="n">
        <x:v>6221</x:v>
      </x:c>
      <x:c r="Q162" t="n">
        <x:v>1</x:v>
      </x:c>
      <x:c r="R162" t="n">
        <x:v>0</x:v>
      </x:c>
      <x:c r="S162" t="n">
        <x:v>654</x:v>
      </x:c>
      <x:c r="T162" s="18" t="n">
        <x:v>57.57861111111111</x:v>
      </x:c>
      <x:c r="U162" t="n">
        <x:v>46</x:v>
      </x:c>
      <x:c r="V162" t="n">
        <x:v>32</x:v>
      </x:c>
      <x:c r="W162" t="n">
        <x:v>2</x:v>
      </x:c>
      <x:c r="X162" s="18" t="n">
        <x:v>41</x:v>
      </x:c>
      <x:c r="Y162" s="18" t="n">
        <x:v>72</x:v>
      </x:c>
      <x:c r="Z162" s="18" t="n">
        <x:v>3.5</x:v>
      </x:c>
      <x:c r="AA162" t="n">
        <x:v>0</x:v>
      </x:c>
    </x:row>
    <x:row r="163">
      <x:c r="A163" t="str">
        <x:v>A-856b1e</x:v>
      </x:c>
      <x:c r="B163" t="str">
        <x:v>Company_161</x:v>
      </x:c>
      <x:c r="C163" t="str">
        <x:v>FinTech</x:v>
      </x:c>
      <x:c r="D163" t="str">
        <x:v>US</x:v>
      </x:c>
      <x:c r="E163" s="14" t="n">
        <x:v>45230</x:v>
      </x:c>
      <x:c r="F163" t="str">
        <x:v>2023-10</x:v>
      </x:c>
      <x:c r="G163" t="str">
        <x:v>partner</x:v>
      </x:c>
      <x:c r="H163" t="str">
        <x:v>Basic</x:v>
      </x:c>
      <x:c r="I163" t="n">
        <x:v>19</x:v>
      </x:c>
      <x:c r="J163" s="1" t="b">
        <x:v>0</x:v>
      </x:c>
      <x:c r="K163" t="str">
        <x:v>Active</x:v>
      </x:c>
      <x:c r="L163" t="n">
        <x:v>427</x:v>
      </x:c>
      <x:c r="M163" t="str"/>
      <x:c r="N163" t="n">
        <x:v>0</x:v>
      </x:c>
      <x:c r="O163" t="n">
        <x:v>6</x:v>
      </x:c>
      <x:c r="P163" s="16" t="n">
        <x:v>6321</x:v>
      </x:c>
      <x:c r="Q163" t="n">
        <x:v>1</x:v>
      </x:c>
      <x:c r="R163" t="n">
        <x:v>0</x:v>
      </x:c>
      <x:c r="S163" t="n">
        <x:v>230</x:v>
      </x:c>
      <x:c r="T163" s="18" t="n">
        <x:v>17.61611111111111</x:v>
      </x:c>
      <x:c r="U163" t="n">
        <x:v>24</x:v>
      </x:c>
      <x:c r="V163" t="n">
        <x:v>17</x:v>
      </x:c>
      <x:c r="W163" t="n">
        <x:v>5</x:v>
      </x:c>
      <x:c r="X163" s="18" t="n">
        <x:v>36</x:v>
      </x:c>
      <x:c r="Y163" s="18" t="n">
        <x:v>79.4</x:v>
      </x:c>
      <x:c r="Z163" s="18"/>
      <x:c r="AA163" t="n">
        <x:v>1</x:v>
      </x:c>
    </x:row>
    <x:row r="164">
      <x:c r="A164" t="str">
        <x:v>A-17939a</x:v>
      </x:c>
      <x:c r="B164" t="str">
        <x:v>Company_162</x:v>
      </x:c>
      <x:c r="C164" t="str">
        <x:v>HealthTech</x:v>
      </x:c>
      <x:c r="D164" t="str">
        <x:v>US</x:v>
      </x:c>
      <x:c r="E164" s="14" t="n">
        <x:v>45652</x:v>
      </x:c>
      <x:c r="F164" t="str">
        <x:v>2024-12</x:v>
      </x:c>
      <x:c r="G164" t="str">
        <x:v>organic</x:v>
      </x:c>
      <x:c r="H164" t="str">
        <x:v>Basic</x:v>
      </x:c>
      <x:c r="I164" t="n">
        <x:v>1</x:v>
      </x:c>
      <x:c r="J164" s="1" t="b">
        <x:v>0</x:v>
      </x:c>
      <x:c r="K164" t="str">
        <x:v>Active</x:v>
      </x:c>
      <x:c r="L164" t="n">
        <x:v>5</x:v>
      </x:c>
      <x:c r="M164" t="str"/>
      <x:c r="N164" t="n">
        <x:v>0</x:v>
      </x:c>
      <x:c r="O164" t="n">
        <x:v>11</x:v>
      </x:c>
      <x:c r="P164" s="16" t="n">
        <x:v>8035</x:v>
      </x:c>
      <x:c r="Q164" t="n">
        <x:v>0</x:v>
      </x:c>
      <x:c r="R164" t="n">
        <x:v>0</x:v>
      </x:c>
      <x:c r="S164" t="n">
        <x:v>440</x:v>
      </x:c>
      <x:c r="T164" s="18" t="n">
        <x:v>33.8125</x:v>
      </x:c>
      <x:c r="U164" t="n">
        <x:v>43</x:v>
      </x:c>
      <x:c r="V164" t="n">
        <x:v>25</x:v>
      </x:c>
      <x:c r="W164" t="n">
        <x:v>7</x:v>
      </x:c>
      <x:c r="X164" s="18" t="n">
        <x:v>38</x:v>
      </x:c>
      <x:c r="Y164" s="18" t="n">
        <x:v>83.42857142857143</x:v>
      </x:c>
      <x:c r="Z164" s="18" t="n">
        <x:v>4.5</x:v>
      </x:c>
      <x:c r="AA164" t="n">
        <x:v>0</x:v>
      </x:c>
    </x:row>
    <x:row r="165">
      <x:c r="A165" t="str">
        <x:v>A-d27f50</x:v>
      </x:c>
      <x:c r="B165" t="str">
        <x:v>Company_163</x:v>
      </x:c>
      <x:c r="C165" t="str">
        <x:v>Cybersecurity</x:v>
      </x:c>
      <x:c r="D165" t="str">
        <x:v>UK</x:v>
      </x:c>
      <x:c r="E165" s="14" t="n">
        <x:v>45493</x:v>
      </x:c>
      <x:c r="F165" t="str">
        <x:v>2024-07</x:v>
      </x:c>
      <x:c r="G165" t="str">
        <x:v>ads</x:v>
      </x:c>
      <x:c r="H165" t="str">
        <x:v>Enterprise</x:v>
      </x:c>
      <x:c r="I165" t="n">
        <x:v>44</x:v>
      </x:c>
      <x:c r="J165" s="1" t="b">
        <x:v>0</x:v>
      </x:c>
      <x:c r="K165" t="str">
        <x:v>Active</x:v>
      </x:c>
      <x:c r="L165" t="n">
        <x:v>164</x:v>
      </x:c>
      <x:c r="M165" t="str"/>
      <x:c r="N165" t="n">
        <x:v>0</x:v>
      </x:c>
      <x:c r="O165" t="n">
        <x:v>12</x:v>
      </x:c>
      <x:c r="P165" s="16" t="n">
        <x:v>25671</x:v>
      </x:c>
      <x:c r="Q165" t="n">
        <x:v>1</x:v>
      </x:c>
      <x:c r="R165" t="n">
        <x:v>0</x:v>
      </x:c>
      <x:c r="S165" t="n">
        <x:v>481</x:v>
      </x:c>
      <x:c r="T165" s="18" t="n">
        <x:v>47.250277777777775</x:v>
      </x:c>
      <x:c r="U165" t="n">
        <x:v>31</x:v>
      </x:c>
      <x:c r="V165" t="n">
        <x:v>29</x:v>
      </x:c>
      <x:c r="W165" t="n">
        <x:v>4</x:v>
      </x:c>
      <x:c r="X165" s="18" t="n">
        <x:v>37.5</x:v>
      </x:c>
      <x:c r="Y165" s="18" t="n">
        <x:v>116.5</x:v>
      </x:c>
      <x:c r="Z165" s="18" t="n">
        <x:v>3.75</x:v>
      </x:c>
      <x:c r="AA165" t="n">
        <x:v>0</x:v>
      </x:c>
    </x:row>
    <x:row r="166">
      <x:c r="A166" t="str">
        <x:v>A-e36807</x:v>
      </x:c>
      <x:c r="B166" t="str">
        <x:v>Company_164</x:v>
      </x:c>
      <x:c r="C166" t="str">
        <x:v>EdTech</x:v>
      </x:c>
      <x:c r="D166" t="str">
        <x:v>AU</x:v>
      </x:c>
      <x:c r="E166" s="14" t="n">
        <x:v>45429</x:v>
      </x:c>
      <x:c r="F166" t="str">
        <x:v>2024-05</x:v>
      </x:c>
      <x:c r="G166" t="str">
        <x:v>other</x:v>
      </x:c>
      <x:c r="H166" t="str">
        <x:v>Pro</x:v>
      </x:c>
      <x:c r="I166" t="n">
        <x:v>6</x:v>
      </x:c>
      <x:c r="J166" s="1" t="b">
        <x:v>0</x:v>
      </x:c>
      <x:c r="K166" t="str">
        <x:v>Active</x:v>
      </x:c>
      <x:c r="L166" t="n">
        <x:v>228</x:v>
      </x:c>
      <x:c r="M166" t="str"/>
      <x:c r="N166" t="n">
        <x:v>0</x:v>
      </x:c>
      <x:c r="O166" t="n">
        <x:v>10</x:v>
      </x:c>
      <x:c r="P166" s="16" t="n">
        <x:v>10707</x:v>
      </x:c>
      <x:c r="Q166" t="n">
        <x:v>0</x:v>
      </x:c>
      <x:c r="R166" t="n">
        <x:v>0</x:v>
      </x:c>
      <x:c r="S166" t="n">
        <x:v>446</x:v>
      </x:c>
      <x:c r="T166" s="18" t="n">
        <x:v>39.124722222222225</x:v>
      </x:c>
      <x:c r="U166" t="n">
        <x:v>27</x:v>
      </x:c>
      <x:c r="V166" t="n">
        <x:v>27</x:v>
      </x:c>
      <x:c r="W166" t="n">
        <x:v>2</x:v>
      </x:c>
      <x:c r="X166" s="18" t="n">
        <x:v>41</x:v>
      </x:c>
      <x:c r="Y166" s="18" t="n">
        <x:v>152</x:v>
      </x:c>
      <x:c r="Z166" s="18" t="n">
        <x:v>4.5</x:v>
      </x:c>
      <x:c r="AA166" t="n">
        <x:v>0</x:v>
      </x:c>
    </x:row>
    <x:row r="167">
      <x:c r="A167" t="str">
        <x:v>A-ff79f2</x:v>
      </x:c>
      <x:c r="B167" t="str">
        <x:v>Company_165</x:v>
      </x:c>
      <x:c r="C167" t="str">
        <x:v>DevTools</x:v>
      </x:c>
      <x:c r="D167" t="str">
        <x:v>US</x:v>
      </x:c>
      <x:c r="E167" s="14" t="n">
        <x:v>45407</x:v>
      </x:c>
      <x:c r="F167" t="str">
        <x:v>2024-04</x:v>
      </x:c>
      <x:c r="G167" t="str">
        <x:v>ads</x:v>
      </x:c>
      <x:c r="H167" t="str">
        <x:v>Basic</x:v>
      </x:c>
      <x:c r="I167" t="n">
        <x:v>8</x:v>
      </x:c>
      <x:c r="J167" s="1" t="b">
        <x:v>0</x:v>
      </x:c>
      <x:c r="K167" t="str">
        <x:v>Churned</x:v>
      </x:c>
      <x:c r="L167" t="n">
        <x:v>250</x:v>
      </x:c>
      <x:c r="M167" t="str"/>
      <x:c r="N167" t="n">
        <x:v>0</x:v>
      </x:c>
      <x:c r="O167" t="n">
        <x:v>9</x:v>
      </x:c>
      <x:c r="P167" s="16" t="n">
        <x:v>23408</x:v>
      </x:c>
      <x:c r="Q167" t="n">
        <x:v>2</x:v>
      </x:c>
      <x:c r="R167" t="n">
        <x:v>0</x:v>
      </x:c>
      <x:c r="S167" t="n">
        <x:v>393</x:v>
      </x:c>
      <x:c r="T167" s="18" t="n">
        <x:v>37.18</x:v>
      </x:c>
      <x:c r="U167" t="n">
        <x:v>12</x:v>
      </x:c>
      <x:c r="V167" t="n">
        <x:v>24</x:v>
      </x:c>
      <x:c r="W167" t="n">
        <x:v>2</x:v>
      </x:c>
      <x:c r="X167" s="18" t="n">
        <x:v>50</x:v>
      </x:c>
      <x:c r="Y167" s="18" t="n">
        <x:v>82.5</x:v>
      </x:c>
      <x:c r="Z167" s="18"/>
      <x:c r="AA167" t="n">
        <x:v>0</x:v>
      </x:c>
    </x:row>
    <x:row r="168">
      <x:c r="A168" t="str">
        <x:v>A-5b1bcd</x:v>
      </x:c>
      <x:c r="B168" t="str">
        <x:v>Company_166</x:v>
      </x:c>
      <x:c r="C168" t="str">
        <x:v>DevTools</x:v>
      </x:c>
      <x:c r="D168" t="str">
        <x:v>US</x:v>
      </x:c>
      <x:c r="E168" s="14" t="n">
        <x:v>45185</x:v>
      </x:c>
      <x:c r="F168" t="str">
        <x:v>2023-09</x:v>
      </x:c>
      <x:c r="G168" t="str">
        <x:v>organic</x:v>
      </x:c>
      <x:c r="H168" t="str">
        <x:v>Pro</x:v>
      </x:c>
      <x:c r="I168" t="n">
        <x:v>73</x:v>
      </x:c>
      <x:c r="J168" s="1" t="b">
        <x:v>0</x:v>
      </x:c>
      <x:c r="K168" t="str">
        <x:v>Active</x:v>
      </x:c>
      <x:c r="L168" t="n">
        <x:v>472</x:v>
      </x:c>
      <x:c r="M168" t="str"/>
      <x:c r="N168" t="n">
        <x:v>1</x:v>
      </x:c>
      <x:c r="O168" t="n">
        <x:v>15</x:v>
      </x:c>
      <x:c r="P168" s="16" t="n">
        <x:v>131911</x:v>
      </x:c>
      <x:c r="Q168" t="n">
        <x:v>3</x:v>
      </x:c>
      <x:c r="R168" t="n">
        <x:v>0</x:v>
      </x:c>
      <x:c r="S168" t="n">
        <x:v>869</x:v>
      </x:c>
      <x:c r="T168" s="18" t="n">
        <x:v>69.80111111111111</x:v>
      </x:c>
      <x:c r="U168" t="n">
        <x:v>54</x:v>
      </x:c>
      <x:c r="V168" t="n">
        <x:v>34</x:v>
      </x:c>
      <x:c r="W168" t="n">
        <x:v>4</x:v>
      </x:c>
      <x:c r="X168" s="18" t="n">
        <x:v>43.25</x:v>
      </x:c>
      <x:c r="Y168" s="18" t="n">
        <x:v>92.5</x:v>
      </x:c>
      <x:c r="Z168" s="18" t="n">
        <x:v>4.5</x:v>
      </x:c>
      <x:c r="AA168" t="n">
        <x:v>0</x:v>
      </x:c>
    </x:row>
    <x:row r="169">
      <x:c r="A169" t="str">
        <x:v>A-71615e</x:v>
      </x:c>
      <x:c r="B169" t="str">
        <x:v>Company_167</x:v>
      </x:c>
      <x:c r="C169" t="str">
        <x:v>EdTech</x:v>
      </x:c>
      <x:c r="D169" t="str">
        <x:v>US</x:v>
      </x:c>
      <x:c r="E169" s="14" t="n">
        <x:v>45430</x:v>
      </x:c>
      <x:c r="F169" t="str">
        <x:v>2024-05</x:v>
      </x:c>
      <x:c r="G169" t="str">
        <x:v>organic</x:v>
      </x:c>
      <x:c r="H169" t="str">
        <x:v>Basic</x:v>
      </x:c>
      <x:c r="I169" t="n">
        <x:v>15</x:v>
      </x:c>
      <x:c r="J169" s="1" t="b">
        <x:v>0</x:v>
      </x:c>
      <x:c r="K169" t="str">
        <x:v>Active</x:v>
      </x:c>
      <x:c r="L169" t="n">
        <x:v>227</x:v>
      </x:c>
      <x:c r="M169" t="str"/>
      <x:c r="N169" t="n">
        <x:v>1</x:v>
      </x:c>
      <x:c r="O169" t="n">
        <x:v>13</x:v>
      </x:c>
      <x:c r="P169" s="16" t="n">
        <x:v>40713</x:v>
      </x:c>
      <x:c r="Q169" t="n">
        <x:v>3</x:v>
      </x:c>
      <x:c r="R169" t="n">
        <x:v>0</x:v>
      </x:c>
      <x:c r="S169" t="n">
        <x:v>620</x:v>
      </x:c>
      <x:c r="T169" s="18" t="n">
        <x:v>54.11083333333333</x:v>
      </x:c>
      <x:c r="U169" t="n">
        <x:v>41</x:v>
      </x:c>
      <x:c r="V169" t="n">
        <x:v>29</x:v>
      </x:c>
      <x:c r="W169" t="n">
        <x:v>1</x:v>
      </x:c>
      <x:c r="X169" s="18" t="n">
        <x:v>49</x:v>
      </x:c>
      <x:c r="Y169" s="18" t="n">
        <x:v>77</x:v>
      </x:c>
      <x:c r="Z169" s="18"/>
      <x:c r="AA169" t="n">
        <x:v>0</x:v>
      </x:c>
    </x:row>
    <x:row r="170">
      <x:c r="A170" t="str">
        <x:v>A-794a0b</x:v>
      </x:c>
      <x:c r="B170" t="str">
        <x:v>Company_168</x:v>
      </x:c>
      <x:c r="C170" t="str">
        <x:v>HealthTech</x:v>
      </x:c>
      <x:c r="D170" t="str">
        <x:v>DE</x:v>
      </x:c>
      <x:c r="E170" s="14" t="n">
        <x:v>45079</x:v>
      </x:c>
      <x:c r="F170" t="str">
        <x:v>2023-06</x:v>
      </x:c>
      <x:c r="G170" t="str">
        <x:v>organic</x:v>
      </x:c>
      <x:c r="H170" t="str">
        <x:v>Basic</x:v>
      </x:c>
      <x:c r="I170" t="n">
        <x:v>23</x:v>
      </x:c>
      <x:c r="J170" s="1" t="b">
        <x:v>0</x:v>
      </x:c>
      <x:c r="K170" t="str">
        <x:v>Active</x:v>
      </x:c>
      <x:c r="L170" t="n">
        <x:v>578</x:v>
      </x:c>
      <x:c r="M170" t="str"/>
      <x:c r="N170" t="n">
        <x:v>1</x:v>
      </x:c>
      <x:c r="O170" t="n">
        <x:v>7</x:v>
      </x:c>
      <x:c r="P170" s="16" t="n">
        <x:v>10575</x:v>
      </x:c>
      <x:c r="Q170" t="n">
        <x:v>0</x:v>
      </x:c>
      <x:c r="R170" t="n">
        <x:v>0</x:v>
      </x:c>
      <x:c r="S170" t="n">
        <x:v>347</x:v>
      </x:c>
      <x:c r="T170" s="18" t="n">
        <x:v>26.166666666666668</x:v>
      </x:c>
      <x:c r="U170" t="n">
        <x:v>31</x:v>
      </x:c>
      <x:c r="V170" t="n">
        <x:v>28</x:v>
      </x:c>
      <x:c r="W170" t="n">
        <x:v>0</x:v>
      </x:c>
      <x:c r="X170" s="18"/>
      <x:c r="Y170" s="18"/>
      <x:c r="Z170" s="18"/>
      <x:c r="AA170" t="n">
        <x:v>0</x:v>
      </x:c>
    </x:row>
    <x:row r="171">
      <x:c r="A171" t="str">
        <x:v>A-86902e</x:v>
      </x:c>
      <x:c r="B171" t="str">
        <x:v>Company_169</x:v>
      </x:c>
      <x:c r="C171" t="str">
        <x:v>HealthTech</x:v>
      </x:c>
      <x:c r="D171" t="str">
        <x:v>IN</x:v>
      </x:c>
      <x:c r="E171" s="14" t="n">
        <x:v>45048</x:v>
      </x:c>
      <x:c r="F171" t="str">
        <x:v>2023-05</x:v>
      </x:c>
      <x:c r="G171" t="str">
        <x:v>other</x:v>
      </x:c>
      <x:c r="H171" t="str">
        <x:v>Enterprise</x:v>
      </x:c>
      <x:c r="I171" t="n">
        <x:v>34</x:v>
      </x:c>
      <x:c r="J171" s="1" t="b">
        <x:v>0</x:v>
      </x:c>
      <x:c r="K171" t="str">
        <x:v>Active</x:v>
      </x:c>
      <x:c r="L171" t="n">
        <x:v>609</x:v>
      </x:c>
      <x:c r="M171" t="str"/>
      <x:c r="N171" t="n">
        <x:v>1</x:v>
      </x:c>
      <x:c r="O171" t="n">
        <x:v>10</x:v>
      </x:c>
      <x:c r="P171" s="16" t="n">
        <x:v>36041</x:v>
      </x:c>
      <x:c r="Q171" t="n">
        <x:v>2</x:v>
      </x:c>
      <x:c r="R171" t="n">
        <x:v>0</x:v>
      </x:c>
      <x:c r="S171" t="n">
        <x:v>628</x:v>
      </x:c>
      <x:c r="T171" s="18" t="n">
        <x:v>56.2025</x:v>
      </x:c>
      <x:c r="U171" t="n">
        <x:v>36</x:v>
      </x:c>
      <x:c r="V171" t="n">
        <x:v>32</x:v>
      </x:c>
      <x:c r="W171" t="n">
        <x:v>9</x:v>
      </x:c>
      <x:c r="X171" s="18" t="n">
        <x:v>40.888888888888886</x:v>
      </x:c>
      <x:c r="Y171" s="18" t="n">
        <x:v>71.44444444444444</x:v>
      </x:c>
      <x:c r="Z171" s="18" t="n">
        <x:v>3.5</x:v>
      </x:c>
      <x:c r="AA171" t="n">
        <x:v>0</x:v>
      </x:c>
    </x:row>
    <x:row r="172">
      <x:c r="A172" t="str">
        <x:v>A-0532a9</x:v>
      </x:c>
      <x:c r="B172" t="str">
        <x:v>Company_170</x:v>
      </x:c>
      <x:c r="C172" t="str">
        <x:v>FinTech</x:v>
      </x:c>
      <x:c r="D172" t="str">
        <x:v>IN</x:v>
      </x:c>
      <x:c r="E172" s="14" t="n">
        <x:v>45560</x:v>
      </x:c>
      <x:c r="F172" t="str">
        <x:v>2024-09</x:v>
      </x:c>
      <x:c r="G172" t="str">
        <x:v>event</x:v>
      </x:c>
      <x:c r="H172" t="str">
        <x:v>Pro</x:v>
      </x:c>
      <x:c r="I172" t="n">
        <x:v>19</x:v>
      </x:c>
      <x:c r="J172" s="1" t="b">
        <x:v>0</x:v>
      </x:c>
      <x:c r="K172" t="str">
        <x:v>Active</x:v>
      </x:c>
      <x:c r="L172" t="n">
        <x:v>97</x:v>
      </x:c>
      <x:c r="M172" t="str"/>
      <x:c r="N172" t="n">
        <x:v>1</x:v>
      </x:c>
      <x:c r="O172" t="n">
        <x:v>10</x:v>
      </x:c>
      <x:c r="P172" s="16" t="n">
        <x:v>15161</x:v>
      </x:c>
      <x:c r="Q172" t="n">
        <x:v>4</x:v>
      </x:c>
      <x:c r="R172" t="n">
        <x:v>1</x:v>
      </x:c>
      <x:c r="S172" t="n">
        <x:v>519</x:v>
      </x:c>
      <x:c r="T172" s="18" t="n">
        <x:v>43.83111111111111</x:v>
      </x:c>
      <x:c r="U172" t="n">
        <x:v>30</x:v>
      </x:c>
      <x:c r="V172" t="n">
        <x:v>30</x:v>
      </x:c>
      <x:c r="W172" t="n">
        <x:v>8</x:v>
      </x:c>
      <x:c r="X172" s="18" t="n">
        <x:v>30.75</x:v>
      </x:c>
      <x:c r="Y172" s="18" t="n">
        <x:v>73.375</x:v>
      </x:c>
      <x:c r="Z172" s="18" t="n">
        <x:v>3</x:v>
      </x:c>
      <x:c r="AA172" t="n">
        <x:v>0</x:v>
      </x:c>
    </x:row>
    <x:row r="173">
      <x:c r="A173" t="str">
        <x:v>A-9779ad</x:v>
      </x:c>
      <x:c r="B173" t="str">
        <x:v>Company_171</x:v>
      </x:c>
      <x:c r="C173" t="str">
        <x:v>Cybersecurity</x:v>
      </x:c>
      <x:c r="D173" t="str">
        <x:v>AU</x:v>
      </x:c>
      <x:c r="E173" s="14" t="n">
        <x:v>45380</x:v>
      </x:c>
      <x:c r="F173" t="str">
        <x:v>2024-03</x:v>
      </x:c>
      <x:c r="G173" t="str">
        <x:v>event</x:v>
      </x:c>
      <x:c r="H173" t="str">
        <x:v>Pro</x:v>
      </x:c>
      <x:c r="I173" t="n">
        <x:v>40</x:v>
      </x:c>
      <x:c r="J173" s="1" t="b">
        <x:v>1</x:v>
      </x:c>
      <x:c r="K173" t="str">
        <x:v>Churned</x:v>
      </x:c>
      <x:c r="L173" t="n">
        <x:v>135</x:v>
      </x:c>
      <x:c r="M173" t="str">
        <x:v>features</x:v>
      </x:c>
      <x:c r="N173" t="n">
        <x:v>3</x:v>
      </x:c>
      <x:c r="O173" t="n">
        <x:v>10</x:v>
      </x:c>
      <x:c r="P173" s="16" t="n">
        <x:v>51680</x:v>
      </x:c>
      <x:c r="Q173" t="n">
        <x:v>0</x:v>
      </x:c>
      <x:c r="R173" t="n">
        <x:v>0</x:v>
      </x:c>
      <x:c r="S173" t="n">
        <x:v>413</x:v>
      </x:c>
      <x:c r="T173" s="18" t="n">
        <x:v>30.299722222222222</x:v>
      </x:c>
      <x:c r="U173" t="n">
        <x:v>25</x:v>
      </x:c>
      <x:c r="V173" t="n">
        <x:v>29</x:v>
      </x:c>
      <x:c r="W173" t="n">
        <x:v>3</x:v>
      </x:c>
      <x:c r="X173" s="18" t="n">
        <x:v>20.666666666666668</x:v>
      </x:c>
      <x:c r="Y173" s="18" t="n">
        <x:v>116.33333333333333</x:v>
      </x:c>
      <x:c r="Z173" s="18" t="n">
        <x:v>5</x:v>
      </x:c>
      <x:c r="AA173" t="n">
        <x:v>0</x:v>
      </x:c>
    </x:row>
    <x:row r="174">
      <x:c r="A174" t="str">
        <x:v>A-f45426</x:v>
      </x:c>
      <x:c r="B174" t="str">
        <x:v>Company_172</x:v>
      </x:c>
      <x:c r="C174" t="str">
        <x:v>HealthTech</x:v>
      </x:c>
      <x:c r="D174" t="str">
        <x:v>US</x:v>
      </x:c>
      <x:c r="E174" s="14" t="n">
        <x:v>45509</x:v>
      </x:c>
      <x:c r="F174" t="str">
        <x:v>2024-08</x:v>
      </x:c>
      <x:c r="G174" t="str">
        <x:v>organic</x:v>
      </x:c>
      <x:c r="H174" t="str">
        <x:v>Basic</x:v>
      </x:c>
      <x:c r="I174" t="n">
        <x:v>9</x:v>
      </x:c>
      <x:c r="J174" s="1" t="b">
        <x:v>0</x:v>
      </x:c>
      <x:c r="K174" t="str">
        <x:v>Active</x:v>
      </x:c>
      <x:c r="L174" t="n">
        <x:v>148</x:v>
      </x:c>
      <x:c r="M174" t="str"/>
      <x:c r="N174" t="n">
        <x:v>2</x:v>
      </x:c>
      <x:c r="O174" t="n">
        <x:v>11</x:v>
      </x:c>
      <x:c r="P174" s="16" t="n">
        <x:v>14959</x:v>
      </x:c>
      <x:c r="Q174" t="n">
        <x:v>0</x:v>
      </x:c>
      <x:c r="R174" t="n">
        <x:v>3</x:v>
      </x:c>
      <x:c r="S174" t="n">
        <x:v>624</x:v>
      </x:c>
      <x:c r="T174" s="18" t="n">
        <x:v>53.23638888888889</x:v>
      </x:c>
      <x:c r="U174" t="n">
        <x:v>49</x:v>
      </x:c>
      <x:c r="V174" t="n">
        <x:v>33</x:v>
      </x:c>
      <x:c r="W174" t="n">
        <x:v>3</x:v>
      </x:c>
      <x:c r="X174" s="18" t="n">
        <x:v>17</x:v>
      </x:c>
      <x:c r="Y174" s="18" t="n">
        <x:v>69</x:v>
      </x:c>
      <x:c r="Z174" s="18" t="n">
        <x:v>4</x:v>
      </x:c>
      <x:c r="AA174" t="n">
        <x:v>0</x:v>
      </x:c>
    </x:row>
    <x:row r="175">
      <x:c r="A175" t="str">
        <x:v>A-c1e51e</x:v>
      </x:c>
      <x:c r="B175" t="str">
        <x:v>Company_173</x:v>
      </x:c>
      <x:c r="C175" t="str">
        <x:v>FinTech</x:v>
      </x:c>
      <x:c r="D175" t="str">
        <x:v>US</x:v>
      </x:c>
      <x:c r="E175" s="14" t="n">
        <x:v>45567</x:v>
      </x:c>
      <x:c r="F175" t="str">
        <x:v>2024-10</x:v>
      </x:c>
      <x:c r="G175" t="str">
        <x:v>organic</x:v>
      </x:c>
      <x:c r="H175" t="str">
        <x:v>Basic</x:v>
      </x:c>
      <x:c r="I175" t="n">
        <x:v>3</x:v>
      </x:c>
      <x:c r="J175" s="1" t="b">
        <x:v>0</x:v>
      </x:c>
      <x:c r="K175" t="str">
        <x:v>Active</x:v>
      </x:c>
      <x:c r="L175" t="n">
        <x:v>90</x:v>
      </x:c>
      <x:c r="M175" t="str"/>
      <x:c r="N175" t="n">
        <x:v>2</x:v>
      </x:c>
      <x:c r="O175" t="n">
        <x:v>10</x:v>
      </x:c>
      <x:c r="P175" s="16" t="n">
        <x:v>18772</x:v>
      </x:c>
      <x:c r="Q175" t="n">
        <x:v>1</x:v>
      </x:c>
      <x:c r="R175" t="n">
        <x:v>1</x:v>
      </x:c>
      <x:c r="S175" t="n">
        <x:v>518</x:v>
      </x:c>
      <x:c r="T175" s="18" t="n">
        <x:v>42.285555555555554</x:v>
      </x:c>
      <x:c r="U175" t="n">
        <x:v>36</x:v>
      </x:c>
      <x:c r="V175" t="n">
        <x:v>28</x:v>
      </x:c>
      <x:c r="W175" t="n">
        <x:v>5</x:v>
      </x:c>
      <x:c r="X175" s="18" t="n">
        <x:v>40</x:v>
      </x:c>
      <x:c r="Y175" s="18" t="n">
        <x:v>75.6</x:v>
      </x:c>
      <x:c r="Z175" s="18" t="n">
        <x:v>3.2</x:v>
      </x:c>
      <x:c r="AA175" t="n">
        <x:v>0</x:v>
      </x:c>
    </x:row>
    <x:row r="176">
      <x:c r="A176" t="str">
        <x:v>A-fa3095</x:v>
      </x:c>
      <x:c r="B176" t="str">
        <x:v>Company_174</x:v>
      </x:c>
      <x:c r="C176" t="str">
        <x:v>FinTech</x:v>
      </x:c>
      <x:c r="D176" t="str">
        <x:v>US</x:v>
      </x:c>
      <x:c r="E176" s="14" t="n">
        <x:v>45172</x:v>
      </x:c>
      <x:c r="F176" t="str">
        <x:v>2023-09</x:v>
      </x:c>
      <x:c r="G176" t="str">
        <x:v>ads</x:v>
      </x:c>
      <x:c r="H176" t="str">
        <x:v>Basic</x:v>
      </x:c>
      <x:c r="I176" t="n">
        <x:v>70</x:v>
      </x:c>
      <x:c r="J176" s="1" t="b">
        <x:v>0</x:v>
      </x:c>
      <x:c r="K176" t="str">
        <x:v>Active</x:v>
      </x:c>
      <x:c r="L176" t="n">
        <x:v>485</x:v>
      </x:c>
      <x:c r="M176" t="str"/>
      <x:c r="N176" t="n">
        <x:v>1</x:v>
      </x:c>
      <x:c r="O176" t="n">
        <x:v>12</x:v>
      </x:c>
      <x:c r="P176" s="16" t="n">
        <x:v>69230</x:v>
      </x:c>
      <x:c r="Q176" t="n">
        <x:v>0</x:v>
      </x:c>
      <x:c r="R176" t="n">
        <x:v>0</x:v>
      </x:c>
      <x:c r="S176" t="n">
        <x:v>600</x:v>
      </x:c>
      <x:c r="T176" s="18" t="n">
        <x:v>56.138888888888886</x:v>
      </x:c>
      <x:c r="U176" t="n">
        <x:v>42</x:v>
      </x:c>
      <x:c r="V176" t="n">
        <x:v>31</x:v>
      </x:c>
      <x:c r="W176" t="n">
        <x:v>5</x:v>
      </x:c>
      <x:c r="X176" s="18" t="n">
        <x:v>49.2</x:v>
      </x:c>
      <x:c r="Y176" s="18" t="n">
        <x:v>84</x:v>
      </x:c>
      <x:c r="Z176" s="18" t="n">
        <x:v>5</x:v>
      </x:c>
      <x:c r="AA176" t="n">
        <x:v>0</x:v>
      </x:c>
    </x:row>
    <x:row r="177">
      <x:c r="A177" t="str">
        <x:v>A-ad64c6</x:v>
      </x:c>
      <x:c r="B177" t="str">
        <x:v>Company_175</x:v>
      </x:c>
      <x:c r="C177" t="str">
        <x:v>DevTools</x:v>
      </x:c>
      <x:c r="D177" t="str">
        <x:v>UK</x:v>
      </x:c>
      <x:c r="E177" s="14" t="n">
        <x:v>45345</x:v>
      </x:c>
      <x:c r="F177" t="str">
        <x:v>2024-02</x:v>
      </x:c>
      <x:c r="G177" t="str">
        <x:v>event</x:v>
      </x:c>
      <x:c r="H177" t="str">
        <x:v>Pro</x:v>
      </x:c>
      <x:c r="I177" t="n">
        <x:v>12</x:v>
      </x:c>
      <x:c r="J177" s="1" t="b">
        <x:v>0</x:v>
      </x:c>
      <x:c r="K177" t="str">
        <x:v>Active</x:v>
      </x:c>
      <x:c r="L177" t="n">
        <x:v>312</x:v>
      </x:c>
      <x:c r="M177" t="str"/>
      <x:c r="N177" t="n">
        <x:v>2</x:v>
      </x:c>
      <x:c r="O177" t="n">
        <x:v>6</x:v>
      </x:c>
      <x:c r="P177" s="16" t="n">
        <x:v>14120</x:v>
      </x:c>
      <x:c r="Q177" t="n">
        <x:v>0</x:v>
      </x:c>
      <x:c r="R177" t="n">
        <x:v>0</x:v>
      </x:c>
      <x:c r="S177" t="n">
        <x:v>215</x:v>
      </x:c>
      <x:c r="T177" s="18" t="n">
        <x:v>22.1125</x:v>
      </x:c>
      <x:c r="U177" t="n">
        <x:v>18</x:v>
      </x:c>
      <x:c r="V177" t="n">
        <x:v>16</x:v>
      </x:c>
      <x:c r="W177" t="n">
        <x:v>4</x:v>
      </x:c>
      <x:c r="X177" s="18" t="n">
        <x:v>34</x:v>
      </x:c>
      <x:c r="Y177" s="18" t="n">
        <x:v>98.5</x:v>
      </x:c>
      <x:c r="Z177" s="18" t="n">
        <x:v>5</x:v>
      </x:c>
      <x:c r="AA177" t="n">
        <x:v>0</x:v>
      </x:c>
    </x:row>
    <x:row r="178">
      <x:c r="A178" t="str">
        <x:v>A-39b19f</x:v>
      </x:c>
      <x:c r="B178" t="str">
        <x:v>Company_176</x:v>
      </x:c>
      <x:c r="C178" t="str">
        <x:v>FinTech</x:v>
      </x:c>
      <x:c r="D178" t="str">
        <x:v>US</x:v>
      </x:c>
      <x:c r="E178" s="14" t="n">
        <x:v>44960</x:v>
      </x:c>
      <x:c r="F178" t="str">
        <x:v>2023-02</x:v>
      </x:c>
      <x:c r="G178" t="str">
        <x:v>partner</x:v>
      </x:c>
      <x:c r="H178" t="str">
        <x:v>Enterprise</x:v>
      </x:c>
      <x:c r="I178" t="n">
        <x:v>1</x:v>
      </x:c>
      <x:c r="J178" s="1" t="b">
        <x:v>0</x:v>
      </x:c>
      <x:c r="K178" t="str">
        <x:v>Active</x:v>
      </x:c>
      <x:c r="L178" t="n">
        <x:v>697</x:v>
      </x:c>
      <x:c r="M178" t="str"/>
      <x:c r="N178" t="n">
        <x:v>1</x:v>
      </x:c>
      <x:c r="O178" t="n">
        <x:v>11</x:v>
      </x:c>
      <x:c r="P178" s="16" t="n">
        <x:v>11902</x:v>
      </x:c>
      <x:c r="Q178" t="n">
        <x:v>1</x:v>
      </x:c>
      <x:c r="R178" t="n">
        <x:v>1</x:v>
      </x:c>
      <x:c r="S178" t="n">
        <x:v>530</x:v>
      </x:c>
      <x:c r="T178" s="18" t="n">
        <x:v>37.51694444444445</x:v>
      </x:c>
      <x:c r="U178" t="n">
        <x:v>37</x:v>
      </x:c>
      <x:c r="V178" t="n">
        <x:v>30</x:v>
      </x:c>
      <x:c r="W178" t="n">
        <x:v>6</x:v>
      </x:c>
      <x:c r="X178" s="18" t="n">
        <x:v>47.833333333333336</x:v>
      </x:c>
      <x:c r="Y178" s="18" t="n">
        <x:v>87.5</x:v>
      </x:c>
      <x:c r="Z178" s="18" t="n">
        <x:v>4.25</x:v>
      </x:c>
      <x:c r="AA178" t="n">
        <x:v>1</x:v>
      </x:c>
    </x:row>
    <x:row r="179">
      <x:c r="A179" t="str">
        <x:v>A-56962b</x:v>
      </x:c>
      <x:c r="B179" t="str">
        <x:v>Company_177</x:v>
      </x:c>
      <x:c r="C179" t="str">
        <x:v>EdTech</x:v>
      </x:c>
      <x:c r="D179" t="str">
        <x:v>UK</x:v>
      </x:c>
      <x:c r="E179" s="14" t="n">
        <x:v>45391</x:v>
      </x:c>
      <x:c r="F179" t="str">
        <x:v>2024-04</x:v>
      </x:c>
      <x:c r="G179" t="str">
        <x:v>partner</x:v>
      </x:c>
      <x:c r="H179" t="str">
        <x:v>Enterprise</x:v>
      </x:c>
      <x:c r="I179" t="n">
        <x:v>163</x:v>
      </x:c>
      <x:c r="J179" s="1" t="b">
        <x:v>0</x:v>
      </x:c>
      <x:c r="K179" t="str">
        <x:v>Active</x:v>
      </x:c>
      <x:c r="L179" t="n">
        <x:v>266</x:v>
      </x:c>
      <x:c r="M179" t="str"/>
      <x:c r="N179" t="n">
        <x:v>2</x:v>
      </x:c>
      <x:c r="O179" t="n">
        <x:v>7</x:v>
      </x:c>
      <x:c r="P179" s="16" t="n">
        <x:v>54605</x:v>
      </x:c>
      <x:c r="Q179" t="n">
        <x:v>1</x:v>
      </x:c>
      <x:c r="R179" t="n">
        <x:v>0</x:v>
      </x:c>
      <x:c r="S179" t="n">
        <x:v>271</x:v>
      </x:c>
      <x:c r="T179" s="18" t="n">
        <x:v>22.76222222222222</x:v>
      </x:c>
      <x:c r="U179" t="n">
        <x:v>25</x:v>
      </x:c>
      <x:c r="V179" t="n">
        <x:v>16</x:v>
      </x:c>
      <x:c r="W179" t="n">
        <x:v>4</x:v>
      </x:c>
      <x:c r="X179" s="18" t="n">
        <x:v>37.5</x:v>
      </x:c>
      <x:c r="Y179" s="18" t="n">
        <x:v>105.5</x:v>
      </x:c>
      <x:c r="Z179" s="18" t="n">
        <x:v>3</x:v>
      </x:c>
      <x:c r="AA179" t="n">
        <x:v>0</x:v>
      </x:c>
    </x:row>
    <x:row r="180">
      <x:c r="A180" t="str">
        <x:v>A-e60f9d</x:v>
      </x:c>
      <x:c r="B180" t="str">
        <x:v>Company_178</x:v>
      </x:c>
      <x:c r="C180" t="str">
        <x:v>FinTech</x:v>
      </x:c>
      <x:c r="D180" t="str">
        <x:v>US</x:v>
      </x:c>
      <x:c r="E180" s="14" t="n">
        <x:v>45530</x:v>
      </x:c>
      <x:c r="F180" t="str">
        <x:v>2024-08</x:v>
      </x:c>
      <x:c r="G180" t="str">
        <x:v>other</x:v>
      </x:c>
      <x:c r="H180" t="str">
        <x:v>Basic</x:v>
      </x:c>
      <x:c r="I180" t="n">
        <x:v>29</x:v>
      </x:c>
      <x:c r="J180" s="1" t="b">
        <x:v>0</x:v>
      </x:c>
      <x:c r="K180" t="str">
        <x:v>Active</x:v>
      </x:c>
      <x:c r="L180" t="n">
        <x:v>127</x:v>
      </x:c>
      <x:c r="M180" t="str"/>
      <x:c r="N180" t="n">
        <x:v>0</x:v>
      </x:c>
      <x:c r="O180" t="n">
        <x:v>15</x:v>
      </x:c>
      <x:c r="P180" s="16" t="n">
        <x:v>50095</x:v>
      </x:c>
      <x:c r="Q180" t="n">
        <x:v>0</x:v>
      </x:c>
      <x:c r="R180" t="n">
        <x:v>2</x:v>
      </x:c>
      <x:c r="S180" t="n">
        <x:v>629</x:v>
      </x:c>
      <x:c r="T180" s="18" t="n">
        <x:v>44.051944444444445</x:v>
      </x:c>
      <x:c r="U180" t="n">
        <x:v>24</x:v>
      </x:c>
      <x:c r="V180" t="n">
        <x:v>30</x:v>
      </x:c>
      <x:c r="W180" t="n">
        <x:v>2</x:v>
      </x:c>
      <x:c r="X180" s="18" t="n">
        <x:v>70.5</x:v>
      </x:c>
      <x:c r="Y180" s="18" t="n">
        <x:v>106.5</x:v>
      </x:c>
      <x:c r="Z180" s="18"/>
      <x:c r="AA180" t="n">
        <x:v>0</x:v>
      </x:c>
    </x:row>
    <x:row r="181">
      <x:c r="A181" t="str">
        <x:v>A-88c6ca</x:v>
      </x:c>
      <x:c r="B181" t="str">
        <x:v>Company_179</x:v>
      </x:c>
      <x:c r="C181" t="str">
        <x:v>FinTech</x:v>
      </x:c>
      <x:c r="D181" t="str">
        <x:v>DE</x:v>
      </x:c>
      <x:c r="E181" s="14" t="n">
        <x:v>45590</x:v>
      </x:c>
      <x:c r="F181" t="str">
        <x:v>2024-10</x:v>
      </x:c>
      <x:c r="G181" t="str">
        <x:v>ads</x:v>
      </x:c>
      <x:c r="H181" t="str">
        <x:v>Basic</x:v>
      </x:c>
      <x:c r="I181" t="n">
        <x:v>5</x:v>
      </x:c>
      <x:c r="J181" s="1" t="b">
        <x:v>0</x:v>
      </x:c>
      <x:c r="K181" t="str">
        <x:v>Churned</x:v>
      </x:c>
      <x:c r="L181" t="n">
        <x:v>67</x:v>
      </x:c>
      <x:c r="M181" t="str"/>
      <x:c r="N181" t="n">
        <x:v>0</x:v>
      </x:c>
      <x:c r="O181" t="n">
        <x:v>7</x:v>
      </x:c>
      <x:c r="P181" s="16" t="n">
        <x:v>6449</x:v>
      </x:c>
      <x:c r="Q181" t="n">
        <x:v>0</x:v>
      </x:c>
      <x:c r="R181" t="n">
        <x:v>0</x:v>
      </x:c>
      <x:c r="S181" t="n">
        <x:v>446</x:v>
      </x:c>
      <x:c r="T181" s="18" t="n">
        <x:v>36.165277777777774</x:v>
      </x:c>
      <x:c r="U181" t="n">
        <x:v>19</x:v>
      </x:c>
      <x:c r="V181" t="n">
        <x:v>27</x:v>
      </x:c>
      <x:c r="W181" t="n">
        <x:v>1</x:v>
      </x:c>
      <x:c r="X181" s="18" t="n">
        <x:v>56</x:v>
      </x:c>
      <x:c r="Y181" s="18" t="n">
        <x:v>12</x:v>
      </x:c>
      <x:c r="Z181" s="18"/>
      <x:c r="AA181" t="n">
        <x:v>0</x:v>
      </x:c>
    </x:row>
    <x:row r="182">
      <x:c r="A182" t="str">
        <x:v>A-158f4e</x:v>
      </x:c>
      <x:c r="B182" t="str">
        <x:v>Company_180</x:v>
      </x:c>
      <x:c r="C182" t="str">
        <x:v>FinTech</x:v>
      </x:c>
      <x:c r="D182" t="str">
        <x:v>IN</x:v>
      </x:c>
      <x:c r="E182" s="14" t="n">
        <x:v>44988</x:v>
      </x:c>
      <x:c r="F182" t="str">
        <x:v>2023-03</x:v>
      </x:c>
      <x:c r="G182" t="str">
        <x:v>other</x:v>
      </x:c>
      <x:c r="H182" t="str">
        <x:v>Enterprise</x:v>
      </x:c>
      <x:c r="I182" t="n">
        <x:v>61</x:v>
      </x:c>
      <x:c r="J182" s="1" t="b">
        <x:v>0</x:v>
      </x:c>
      <x:c r="K182" t="str">
        <x:v>Active</x:v>
      </x:c>
      <x:c r="L182" t="n">
        <x:v>669</x:v>
      </x:c>
      <x:c r="M182" t="str"/>
      <x:c r="N182" t="n">
        <x:v>2</x:v>
      </x:c>
      <x:c r="O182" t="n">
        <x:v>12</x:v>
      </x:c>
      <x:c r="P182" s="16" t="n">
        <x:v>42700</x:v>
      </x:c>
      <x:c r="Q182" t="n">
        <x:v>0</x:v>
      </x:c>
      <x:c r="R182" t="n">
        <x:v>0</x:v>
      </x:c>
      <x:c r="S182" t="n">
        <x:v>453</x:v>
      </x:c>
      <x:c r="T182" s="18" t="n">
        <x:v>34.571666666666665</x:v>
      </x:c>
      <x:c r="U182" t="n">
        <x:v>29</x:v>
      </x:c>
      <x:c r="V182" t="n">
        <x:v>32</x:v>
      </x:c>
      <x:c r="W182" t="n">
        <x:v>5</x:v>
      </x:c>
      <x:c r="X182" s="18" t="n">
        <x:v>27.6</x:v>
      </x:c>
      <x:c r="Y182" s="18" t="n">
        <x:v>126</x:v>
      </x:c>
      <x:c r="Z182" s="18" t="n">
        <x:v>4.333333333333333</x:v>
      </x:c>
      <x:c r="AA182" t="n">
        <x:v>0</x:v>
      </x:c>
    </x:row>
    <x:row r="183">
      <x:c r="A183" t="str">
        <x:v>A-5b051a</x:v>
      </x:c>
      <x:c r="B183" t="str">
        <x:v>Company_181</x:v>
      </x:c>
      <x:c r="C183" t="str">
        <x:v>Cybersecurity</x:v>
      </x:c>
      <x:c r="D183" t="str">
        <x:v>US</x:v>
      </x:c>
      <x:c r="E183" s="14" t="n">
        <x:v>45509</x:v>
      </x:c>
      <x:c r="F183" t="str">
        <x:v>2024-08</x:v>
      </x:c>
      <x:c r="G183" t="str">
        <x:v>event</x:v>
      </x:c>
      <x:c r="H183" t="str">
        <x:v>Enterprise</x:v>
      </x:c>
      <x:c r="I183" t="n">
        <x:v>22</x:v>
      </x:c>
      <x:c r="J183" s="1" t="b">
        <x:v>0</x:v>
      </x:c>
      <x:c r="K183" t="str">
        <x:v>Active</x:v>
      </x:c>
      <x:c r="L183" t="n">
        <x:v>148</x:v>
      </x:c>
      <x:c r="M183" t="str"/>
      <x:c r="N183" t="n">
        <x:v>0</x:v>
      </x:c>
      <x:c r="O183" t="n">
        <x:v>4</x:v>
      </x:c>
      <x:c r="P183" s="16" t="n">
        <x:v>1914</x:v>
      </x:c>
      <x:c r="Q183" t="n">
        <x:v>0</x:v>
      </x:c>
      <x:c r="R183" t="n">
        <x:v>0</x:v>
      </x:c>
      <x:c r="S183" t="n">
        <x:v>171</x:v>
      </x:c>
      <x:c r="T183" s="18" t="n">
        <x:v>12.462222222222222</x:v>
      </x:c>
      <x:c r="U183" t="n">
        <x:v>17</x:v>
      </x:c>
      <x:c r="V183" t="n">
        <x:v>14</x:v>
      </x:c>
      <x:c r="W183" t="n">
        <x:v>1</x:v>
      </x:c>
      <x:c r="X183" s="18" t="n">
        <x:v>2</x:v>
      </x:c>
      <x:c r="Y183" s="18" t="n">
        <x:v>2</x:v>
      </x:c>
      <x:c r="Z183" s="18" t="n">
        <x:v>3</x:v>
      </x:c>
      <x:c r="AA183" t="n">
        <x:v>0</x:v>
      </x:c>
    </x:row>
    <x:row r="184">
      <x:c r="A184" t="str">
        <x:v>A-296d7c</x:v>
      </x:c>
      <x:c r="B184" t="str">
        <x:v>Company_182</x:v>
      </x:c>
      <x:c r="C184" t="str">
        <x:v>DevTools</x:v>
      </x:c>
      <x:c r="D184" t="str">
        <x:v>DE</x:v>
      </x:c>
      <x:c r="E184" s="14" t="n">
        <x:v>45238</x:v>
      </x:c>
      <x:c r="F184" t="str">
        <x:v>2023-11</x:v>
      </x:c>
      <x:c r="G184" t="str">
        <x:v>other</x:v>
      </x:c>
      <x:c r="H184" t="str">
        <x:v>Enterprise</x:v>
      </x:c>
      <x:c r="I184" t="n">
        <x:v>2</x:v>
      </x:c>
      <x:c r="J184" s="1" t="b">
        <x:v>0</x:v>
      </x:c>
      <x:c r="K184" t="str">
        <x:v>Active</x:v>
      </x:c>
      <x:c r="L184" t="n">
        <x:v>419</x:v>
      </x:c>
      <x:c r="M184" t="str"/>
      <x:c r="N184" t="n">
        <x:v>1</x:v>
      </x:c>
      <x:c r="O184" t="n">
        <x:v>7</x:v>
      </x:c>
      <x:c r="P184" s="16" t="n">
        <x:v>1989</x:v>
      </x:c>
      <x:c r="Q184" t="n">
        <x:v>0</x:v>
      </x:c>
      <x:c r="R184" t="n">
        <x:v>0</x:v>
      </x:c>
      <x:c r="S184" t="n">
        <x:v>357</x:v>
      </x:c>
      <x:c r="T184" s="18" t="n">
        <x:v>34.65361111111111</x:v>
      </x:c>
      <x:c r="U184" t="n">
        <x:v>18</x:v>
      </x:c>
      <x:c r="V184" t="n">
        <x:v>21</x:v>
      </x:c>
      <x:c r="W184" t="n">
        <x:v>5</x:v>
      </x:c>
      <x:c r="X184" s="18" t="n">
        <x:v>50.4</x:v>
      </x:c>
      <x:c r="Y184" s="18" t="n">
        <x:v>105.2</x:v>
      </x:c>
      <x:c r="Z184" s="18" t="n">
        <x:v>3.75</x:v>
      </x:c>
      <x:c r="AA184" t="n">
        <x:v>0</x:v>
      </x:c>
    </x:row>
    <x:row r="185">
      <x:c r="A185" t="str">
        <x:v>A-1619f8</x:v>
      </x:c>
      <x:c r="B185" t="str">
        <x:v>Company_183</x:v>
      </x:c>
      <x:c r="C185" t="str">
        <x:v>DevTools</x:v>
      </x:c>
      <x:c r="D185" t="str">
        <x:v>US</x:v>
      </x:c>
      <x:c r="E185" s="14" t="n">
        <x:v>45432</x:v>
      </x:c>
      <x:c r="F185" t="str">
        <x:v>2024-05</x:v>
      </x:c>
      <x:c r="G185" t="str">
        <x:v>organic</x:v>
      </x:c>
      <x:c r="H185" t="str">
        <x:v>Pro</x:v>
      </x:c>
      <x:c r="I185" t="n">
        <x:v>29</x:v>
      </x:c>
      <x:c r="J185" s="1" t="b">
        <x:v>0</x:v>
      </x:c>
      <x:c r="K185" t="str">
        <x:v>Active</x:v>
      </x:c>
      <x:c r="L185" t="n">
        <x:v>225</x:v>
      </x:c>
      <x:c r="M185" t="str"/>
      <x:c r="N185" t="n">
        <x:v>3</x:v>
      </x:c>
      <x:c r="O185" t="n">
        <x:v>7</x:v>
      </x:c>
      <x:c r="P185" s="16" t="n">
        <x:v>19790</x:v>
      </x:c>
      <x:c r="Q185" t="n">
        <x:v>1</x:v>
      </x:c>
      <x:c r="R185" t="n">
        <x:v>0</x:v>
      </x:c>
      <x:c r="S185" t="n">
        <x:v>432</x:v>
      </x:c>
      <x:c r="T185" s="18" t="n">
        <x:v>39.66305555555556</x:v>
      </x:c>
      <x:c r="U185" t="n">
        <x:v>26</x:v>
      </x:c>
      <x:c r="V185" t="n">
        <x:v>27</x:v>
      </x:c>
      <x:c r="W185" t="n">
        <x:v>3</x:v>
      </x:c>
      <x:c r="X185" s="18" t="n">
        <x:v>42</x:v>
      </x:c>
      <x:c r="Y185" s="18" t="n">
        <x:v>81</x:v>
      </x:c>
      <x:c r="Z185" s="18" t="n">
        <x:v>5</x:v>
      </x:c>
      <x:c r="AA185" t="n">
        <x:v>0</x:v>
      </x:c>
    </x:row>
    <x:row r="186">
      <x:c r="A186" t="str">
        <x:v>A-a1b80b</x:v>
      </x:c>
      <x:c r="B186" t="str">
        <x:v>Company_184</x:v>
      </x:c>
      <x:c r="C186" t="str">
        <x:v>HealthTech</x:v>
      </x:c>
      <x:c r="D186" t="str">
        <x:v>US</x:v>
      </x:c>
      <x:c r="E186" s="14" t="n">
        <x:v>45257</x:v>
      </x:c>
      <x:c r="F186" t="str">
        <x:v>2023-11</x:v>
      </x:c>
      <x:c r="G186" t="str">
        <x:v>organic</x:v>
      </x:c>
      <x:c r="H186" t="str">
        <x:v>Basic</x:v>
      </x:c>
      <x:c r="I186" t="n">
        <x:v>16</x:v>
      </x:c>
      <x:c r="J186" s="1" t="b">
        <x:v>0</x:v>
      </x:c>
      <x:c r="K186" t="str">
        <x:v>Active</x:v>
      </x:c>
      <x:c r="L186" t="n">
        <x:v>400</x:v>
      </x:c>
      <x:c r="M186" t="str"/>
      <x:c r="N186" t="n">
        <x:v>1</x:v>
      </x:c>
      <x:c r="O186" t="n">
        <x:v>16</x:v>
      </x:c>
      <x:c r="P186" s="16" t="n">
        <x:v>34589</x:v>
      </x:c>
      <x:c r="Q186" t="n">
        <x:v>3</x:v>
      </x:c>
      <x:c r="R186" t="n">
        <x:v>1</x:v>
      </x:c>
      <x:c r="S186" t="n">
        <x:v>749</x:v>
      </x:c>
      <x:c r="T186" s="18" t="n">
        <x:v>61.83611111111111</x:v>
      </x:c>
      <x:c r="U186" t="n">
        <x:v>48</x:v>
      </x:c>
      <x:c r="V186" t="n">
        <x:v>33</x:v>
      </x:c>
      <x:c r="W186" t="n">
        <x:v>4</x:v>
      </x:c>
      <x:c r="X186" s="18" t="n">
        <x:v>41</x:v>
      </x:c>
      <x:c r="Y186" s="18" t="n">
        <x:v>72.5</x:v>
      </x:c>
      <x:c r="Z186" s="18" t="n">
        <x:v>4</x:v>
      </x:c>
      <x:c r="AA186" t="n">
        <x:v>0</x:v>
      </x:c>
    </x:row>
    <x:row r="187">
      <x:c r="A187" t="str">
        <x:v>A-139c3b</x:v>
      </x:c>
      <x:c r="B187" t="str">
        <x:v>Company_185</x:v>
      </x:c>
      <x:c r="C187" t="str">
        <x:v>HealthTech</x:v>
      </x:c>
      <x:c r="D187" t="str">
        <x:v>US</x:v>
      </x:c>
      <x:c r="E187" s="14" t="n">
        <x:v>45617</x:v>
      </x:c>
      <x:c r="F187" t="str">
        <x:v>2024-11</x:v>
      </x:c>
      <x:c r="G187" t="str">
        <x:v>organic</x:v>
      </x:c>
      <x:c r="H187" t="str">
        <x:v>Enterprise</x:v>
      </x:c>
      <x:c r="I187" t="n">
        <x:v>10</x:v>
      </x:c>
      <x:c r="J187" s="1" t="b">
        <x:v>1</x:v>
      </x:c>
      <x:c r="K187" t="str">
        <x:v>Churned</x:v>
      </x:c>
      <x:c r="L187" t="n">
        <x:v>40</x:v>
      </x:c>
      <x:c r="M187" t="str"/>
      <x:c r="N187" t="n">
        <x:v>0</x:v>
      </x:c>
      <x:c r="O187" t="n">
        <x:v>8</x:v>
      </x:c>
      <x:c r="P187" s="16" t="n">
        <x:v>6822</x:v>
      </x:c>
      <x:c r="Q187" t="n">
        <x:v>1</x:v>
      </x:c>
      <x:c r="R187" t="n">
        <x:v>0</x:v>
      </x:c>
      <x:c r="S187" t="n">
        <x:v>478</x:v>
      </x:c>
      <x:c r="T187" s="18" t="n">
        <x:v>41.83361111111111</x:v>
      </x:c>
      <x:c r="U187" t="n">
        <x:v>16</x:v>
      </x:c>
      <x:c r="V187" t="n">
        <x:v>27</x:v>
      </x:c>
      <x:c r="W187" t="n">
        <x:v>9</x:v>
      </x:c>
      <x:c r="X187" s="18" t="n">
        <x:v>28.444444444444443</x:v>
      </x:c>
      <x:c r="Y187" s="18" t="n">
        <x:v>66.11111111111111</x:v>
      </x:c>
      <x:c r="Z187" s="18" t="n">
        <x:v>4.5</x:v>
      </x:c>
      <x:c r="AA187" t="n">
        <x:v>0</x:v>
      </x:c>
    </x:row>
    <x:row r="188">
      <x:c r="A188" t="str">
        <x:v>A-702032</x:v>
      </x:c>
      <x:c r="B188" t="str">
        <x:v>Company_186</x:v>
      </x:c>
      <x:c r="C188" t="str">
        <x:v>HealthTech</x:v>
      </x:c>
      <x:c r="D188" t="str">
        <x:v>US</x:v>
      </x:c>
      <x:c r="E188" s="14" t="n">
        <x:v>45202</x:v>
      </x:c>
      <x:c r="F188" t="str">
        <x:v>2023-10</x:v>
      </x:c>
      <x:c r="G188" t="str">
        <x:v>ads</x:v>
      </x:c>
      <x:c r="H188" t="str">
        <x:v>Pro</x:v>
      </x:c>
      <x:c r="I188" t="n">
        <x:v>28</x:v>
      </x:c>
      <x:c r="J188" s="1" t="b">
        <x:v>0</x:v>
      </x:c>
      <x:c r="K188" t="str">
        <x:v>Active</x:v>
      </x:c>
      <x:c r="L188" t="n">
        <x:v>455</x:v>
      </x:c>
      <x:c r="M188" t="str"/>
      <x:c r="N188" t="n">
        <x:v>2</x:v>
      </x:c>
      <x:c r="O188" t="n">
        <x:v>6</x:v>
      </x:c>
      <x:c r="P188" s="16" t="n">
        <x:v>7168</x:v>
      </x:c>
      <x:c r="Q188" t="n">
        <x:v>1</x:v>
      </x:c>
      <x:c r="R188" t="n">
        <x:v>0</x:v>
      </x:c>
      <x:c r="S188" t="n">
        <x:v>285</x:v>
      </x:c>
      <x:c r="T188" s="18" t="n">
        <x:v>25.493333333333332</x:v>
      </x:c>
      <x:c r="U188" t="n">
        <x:v>15</x:v>
      </x:c>
      <x:c r="V188" t="n">
        <x:v>19</x:v>
      </x:c>
      <x:c r="W188" t="n">
        <x:v>4</x:v>
      </x:c>
      <x:c r="X188" s="18" t="n">
        <x:v>26</x:v>
      </x:c>
      <x:c r="Y188" s="18" t="n">
        <x:v>98.25</x:v>
      </x:c>
      <x:c r="Z188" s="18" t="n">
        <x:v>3</x:v>
      </x:c>
      <x:c r="AA188" t="n">
        <x:v>0</x:v>
      </x:c>
    </x:row>
    <x:row r="189">
      <x:c r="A189" t="str">
        <x:v>A-7a0d69</x:v>
      </x:c>
      <x:c r="B189" t="str">
        <x:v>Company_187</x:v>
      </x:c>
      <x:c r="C189" t="str">
        <x:v>DevTools</x:v>
      </x:c>
      <x:c r="D189" t="str">
        <x:v>DE</x:v>
      </x:c>
      <x:c r="E189" s="14" t="n">
        <x:v>45458</x:v>
      </x:c>
      <x:c r="F189" t="str">
        <x:v>2024-06</x:v>
      </x:c>
      <x:c r="G189" t="str">
        <x:v>ads</x:v>
      </x:c>
      <x:c r="H189" t="str">
        <x:v>Enterprise</x:v>
      </x:c>
      <x:c r="I189" t="n">
        <x:v>4</x:v>
      </x:c>
      <x:c r="J189" s="1" t="b">
        <x:v>1</x:v>
      </x:c>
      <x:c r="K189" t="str">
        <x:v>Churned</x:v>
      </x:c>
      <x:c r="L189" t="n">
        <x:v>197</x:v>
      </x:c>
      <x:c r="M189" t="str">
        <x:v>budget</x:v>
      </x:c>
      <x:c r="N189" t="n">
        <x:v>3</x:v>
      </x:c>
      <x:c r="O189" t="n">
        <x:v>11</x:v>
      </x:c>
      <x:c r="P189" s="16" t="n">
        <x:v>10362</x:v>
      </x:c>
      <x:c r="Q189" t="n">
        <x:v>2</x:v>
      </x:c>
      <x:c r="R189" t="n">
        <x:v>0</x:v>
      </x:c>
      <x:c r="S189" t="n">
        <x:v>606</x:v>
      </x:c>
      <x:c r="T189" s="18" t="n">
        <x:v>49.76861111111111</x:v>
      </x:c>
      <x:c r="U189" t="n">
        <x:v>31</x:v>
      </x:c>
      <x:c r="V189" t="n">
        <x:v>31</x:v>
      </x:c>
      <x:c r="W189" t="n">
        <x:v>2</x:v>
      </x:c>
      <x:c r="X189" s="18" t="n">
        <x:v>29</x:v>
      </x:c>
      <x:c r="Y189" s="18" t="n">
        <x:v>52.5</x:v>
      </x:c>
      <x:c r="Z189" s="18" t="n">
        <x:v>5</x:v>
      </x:c>
      <x:c r="AA189" t="n">
        <x:v>0</x:v>
      </x:c>
    </x:row>
    <x:row r="190">
      <x:c r="A190" t="str">
        <x:v>A-22d9d2</x:v>
      </x:c>
      <x:c r="B190" t="str">
        <x:v>Company_188</x:v>
      </x:c>
      <x:c r="C190" t="str">
        <x:v>DevTools</x:v>
      </x:c>
      <x:c r="D190" t="str">
        <x:v>FR</x:v>
      </x:c>
      <x:c r="E190" s="14" t="n">
        <x:v>45373</x:v>
      </x:c>
      <x:c r="F190" t="str">
        <x:v>2024-03</x:v>
      </x:c>
      <x:c r="G190" t="str">
        <x:v>event</x:v>
      </x:c>
      <x:c r="H190" t="str">
        <x:v>Pro</x:v>
      </x:c>
      <x:c r="I190" t="n">
        <x:v>8</x:v>
      </x:c>
      <x:c r="J190" s="1" t="b">
        <x:v>0</x:v>
      </x:c>
      <x:c r="K190" t="str">
        <x:v>Active</x:v>
      </x:c>
      <x:c r="L190" t="n">
        <x:v>284</x:v>
      </x:c>
      <x:c r="M190" t="str"/>
      <x:c r="N190" t="n">
        <x:v>1</x:v>
      </x:c>
      <x:c r="O190" t="n">
        <x:v>14</x:v>
      </x:c>
      <x:c r="P190" s="16" t="n">
        <x:v>14336</x:v>
      </x:c>
      <x:c r="Q190" t="n">
        <x:v>2</x:v>
      </x:c>
      <x:c r="R190" t="n">
        <x:v>1</x:v>
      </x:c>
      <x:c r="S190" t="n">
        <x:v>782</x:v>
      </x:c>
      <x:c r="T190" s="18" t="n">
        <x:v>66.5775</x:v>
      </x:c>
      <x:c r="U190" t="n">
        <x:v>43</x:v>
      </x:c>
      <x:c r="V190" t="n">
        <x:v>35</x:v>
      </x:c>
      <x:c r="W190" t="n">
        <x:v>6</x:v>
      </x:c>
      <x:c r="X190" s="18" t="n">
        <x:v>16</x:v>
      </x:c>
      <x:c r="Y190" s="18" t="n">
        <x:v>88</x:v>
      </x:c>
      <x:c r="Z190" s="18" t="n">
        <x:v>4</x:v>
      </x:c>
      <x:c r="AA190" t="n">
        <x:v>1</x:v>
      </x:c>
    </x:row>
    <x:row r="191">
      <x:c r="A191" t="str">
        <x:v>A-b9eed8</x:v>
      </x:c>
      <x:c r="B191" t="str">
        <x:v>Company_189</x:v>
      </x:c>
      <x:c r="C191" t="str">
        <x:v>Cybersecurity</x:v>
      </x:c>
      <x:c r="D191" t="str">
        <x:v>US</x:v>
      </x:c>
      <x:c r="E191" s="14" t="n">
        <x:v>45345</x:v>
      </x:c>
      <x:c r="F191" t="str">
        <x:v>2024-02</x:v>
      </x:c>
      <x:c r="G191" t="str">
        <x:v>organic</x:v>
      </x:c>
      <x:c r="H191" t="str">
        <x:v>Basic</x:v>
      </x:c>
      <x:c r="I191" t="n">
        <x:v>11</x:v>
      </x:c>
      <x:c r="J191" s="1" t="b">
        <x:v>0</x:v>
      </x:c>
      <x:c r="K191" t="str">
        <x:v>Active</x:v>
      </x:c>
      <x:c r="L191" t="n">
        <x:v>312</x:v>
      </x:c>
      <x:c r="M191" t="str"/>
      <x:c r="N191" t="n">
        <x:v>1</x:v>
      </x:c>
      <x:c r="O191" t="n">
        <x:v>11</x:v>
      </x:c>
      <x:c r="P191" s="16" t="n">
        <x:v>16577</x:v>
      </x:c>
      <x:c r="Q191" t="n">
        <x:v>0</x:v>
      </x:c>
      <x:c r="R191" t="n">
        <x:v>3</x:v>
      </x:c>
      <x:c r="S191" t="n">
        <x:v>623</x:v>
      </x:c>
      <x:c r="T191" s="18" t="n">
        <x:v>46.79833333333333</x:v>
      </x:c>
      <x:c r="U191" t="n">
        <x:v>55</x:v>
      </x:c>
      <x:c r="V191" t="n">
        <x:v>29</x:v>
      </x:c>
      <x:c r="W191" t="n">
        <x:v>5</x:v>
      </x:c>
      <x:c r="X191" s="18" t="n">
        <x:v>29.2</x:v>
      </x:c>
      <x:c r="Y191" s="18" t="n">
        <x:v>103.8</x:v>
      </x:c>
      <x:c r="Z191" s="18" t="n">
        <x:v>3.75</x:v>
      </x:c>
      <x:c r="AA191" t="n">
        <x:v>1</x:v>
      </x:c>
    </x:row>
    <x:row r="192">
      <x:c r="A192" t="str">
        <x:v>A-dfbd31</x:v>
      </x:c>
      <x:c r="B192" t="str">
        <x:v>Company_190</x:v>
      </x:c>
      <x:c r="C192" t="str">
        <x:v>DevTools</x:v>
      </x:c>
      <x:c r="D192" t="str">
        <x:v>UK</x:v>
      </x:c>
      <x:c r="E192" s="14" t="n">
        <x:v>45264</x:v>
      </x:c>
      <x:c r="F192" t="str">
        <x:v>2023-12</x:v>
      </x:c>
      <x:c r="G192" t="str">
        <x:v>partner</x:v>
      </x:c>
      <x:c r="H192" t="str">
        <x:v>Enterprise</x:v>
      </x:c>
      <x:c r="I192" t="n">
        <x:v>14</x:v>
      </x:c>
      <x:c r="J192" s="1" t="b">
        <x:v>0</x:v>
      </x:c>
      <x:c r="K192" t="str">
        <x:v>Active</x:v>
      </x:c>
      <x:c r="L192" t="n">
        <x:v>393</x:v>
      </x:c>
      <x:c r="M192" t="str"/>
      <x:c r="N192" t="n">
        <x:v>2</x:v>
      </x:c>
      <x:c r="O192" t="n">
        <x:v>14</x:v>
      </x:c>
      <x:c r="P192" s="16" t="n">
        <x:v>25079</x:v>
      </x:c>
      <x:c r="Q192" t="n">
        <x:v>1</x:v>
      </x:c>
      <x:c r="R192" t="n">
        <x:v>1</x:v>
      </x:c>
      <x:c r="S192" t="n">
        <x:v>599</x:v>
      </x:c>
      <x:c r="T192" s="18" t="n">
        <x:v>50.631388888888885</x:v>
      </x:c>
      <x:c r="U192" t="n">
        <x:v>19</x:v>
      </x:c>
      <x:c r="V192" t="n">
        <x:v>27</x:v>
      </x:c>
      <x:c r="W192" t="n">
        <x:v>6</x:v>
      </x:c>
      <x:c r="X192" s="18" t="n">
        <x:v>29.666666666666668</x:v>
      </x:c>
      <x:c r="Y192" s="18" t="n">
        <x:v>129.83333333333334</x:v>
      </x:c>
      <x:c r="Z192" s="18" t="n">
        <x:v>4.25</x:v>
      </x:c>
      <x:c r="AA192" t="n">
        <x:v>0</x:v>
      </x:c>
    </x:row>
    <x:row r="193">
      <x:c r="A193" t="str">
        <x:v>A-8e47ca</x:v>
      </x:c>
      <x:c r="B193" t="str">
        <x:v>Company_191</x:v>
      </x:c>
      <x:c r="C193" t="str">
        <x:v>HealthTech</x:v>
      </x:c>
      <x:c r="D193" t="str">
        <x:v>US</x:v>
      </x:c>
      <x:c r="E193" s="14" t="n">
        <x:v>45337</x:v>
      </x:c>
      <x:c r="F193" t="str">
        <x:v>2024-02</x:v>
      </x:c>
      <x:c r="G193" t="str">
        <x:v>organic</x:v>
      </x:c>
      <x:c r="H193" t="str">
        <x:v>Pro</x:v>
      </x:c>
      <x:c r="I193" t="n">
        <x:v>19</x:v>
      </x:c>
      <x:c r="J193" s="1" t="b">
        <x:v>0</x:v>
      </x:c>
      <x:c r="K193" t="str">
        <x:v>Active</x:v>
      </x:c>
      <x:c r="L193" t="n">
        <x:v>320</x:v>
      </x:c>
      <x:c r="M193" t="str"/>
      <x:c r="N193" t="n">
        <x:v>3</x:v>
      </x:c>
      <x:c r="O193" t="n">
        <x:v>9</x:v>
      </x:c>
      <x:c r="P193" s="16" t="n">
        <x:v>23145</x:v>
      </x:c>
      <x:c r="Q193" t="n">
        <x:v>1</x:v>
      </x:c>
      <x:c r="R193" t="n">
        <x:v>0</x:v>
      </x:c>
      <x:c r="S193" t="n">
        <x:v>441</x:v>
      </x:c>
      <x:c r="T193" s="18" t="n">
        <x:v>37.0825</x:v>
      </x:c>
      <x:c r="U193" t="n">
        <x:v>35</x:v>
      </x:c>
      <x:c r="V193" t="n">
        <x:v>29</x:v>
      </x:c>
      <x:c r="W193" t="n">
        <x:v>5</x:v>
      </x:c>
      <x:c r="X193" s="18" t="n">
        <x:v>33.4</x:v>
      </x:c>
      <x:c r="Y193" s="18" t="n">
        <x:v>80.6</x:v>
      </x:c>
      <x:c r="Z193" s="18" t="n">
        <x:v>4</x:v>
      </x:c>
      <x:c r="AA193" t="n">
        <x:v>1</x:v>
      </x:c>
    </x:row>
    <x:row r="194">
      <x:c r="A194" t="str">
        <x:v>A-4437e4</x:v>
      </x:c>
      <x:c r="B194" t="str">
        <x:v>Company_192</x:v>
      </x:c>
      <x:c r="C194" t="str">
        <x:v>Cybersecurity</x:v>
      </x:c>
      <x:c r="D194" t="str">
        <x:v>US</x:v>
      </x:c>
      <x:c r="E194" s="14" t="n">
        <x:v>45185</x:v>
      </x:c>
      <x:c r="F194" t="str">
        <x:v>2023-09</x:v>
      </x:c>
      <x:c r="G194" t="str">
        <x:v>event</x:v>
      </x:c>
      <x:c r="H194" t="str">
        <x:v>Enterprise</x:v>
      </x:c>
      <x:c r="I194" t="n">
        <x:v>3</x:v>
      </x:c>
      <x:c r="J194" s="1" t="b">
        <x:v>0</x:v>
      </x:c>
      <x:c r="K194" t="str">
        <x:v>Active</x:v>
      </x:c>
      <x:c r="L194" t="n">
        <x:v>472</x:v>
      </x:c>
      <x:c r="M194" t="str"/>
      <x:c r="N194" t="n">
        <x:v>1</x:v>
      </x:c>
      <x:c r="O194" t="n">
        <x:v>16</x:v>
      </x:c>
      <x:c r="P194" s="16" t="n">
        <x:v>17831</x:v>
      </x:c>
      <x:c r="Q194" t="n">
        <x:v>4</x:v>
      </x:c>
      <x:c r="R194" t="n">
        <x:v>1</x:v>
      </x:c>
      <x:c r="S194" t="n">
        <x:v>806</x:v>
      </x:c>
      <x:c r="T194" s="18" t="n">
        <x:v>72.2975</x:v>
      </x:c>
      <x:c r="U194" t="n">
        <x:v>43</x:v>
      </x:c>
      <x:c r="V194" t="n">
        <x:v>37</x:v>
      </x:c>
      <x:c r="W194" t="n">
        <x:v>6</x:v>
      </x:c>
      <x:c r="X194" s="18" t="n">
        <x:v>34.666666666666664</x:v>
      </x:c>
      <x:c r="Y194" s="18" t="n">
        <x:v>125.33333333333333</x:v>
      </x:c>
      <x:c r="Z194" s="18" t="n">
        <x:v>3</x:v>
      </x:c>
      <x:c r="AA194" t="n">
        <x:v>2</x:v>
      </x:c>
    </x:row>
    <x:row r="195">
      <x:c r="A195" t="str">
        <x:v>A-779e4e</x:v>
      </x:c>
      <x:c r="B195" t="str">
        <x:v>Company_193</x:v>
      </x:c>
      <x:c r="C195" t="str">
        <x:v>HealthTech</x:v>
      </x:c>
      <x:c r="D195" t="str">
        <x:v>US</x:v>
      </x:c>
      <x:c r="E195" s="14" t="n">
        <x:v>44928</x:v>
      </x:c>
      <x:c r="F195" t="str">
        <x:v>2023-01</x:v>
      </x:c>
      <x:c r="G195" t="str">
        <x:v>organic</x:v>
      </x:c>
      <x:c r="H195" t="str">
        <x:v>Basic</x:v>
      </x:c>
      <x:c r="I195" t="n">
        <x:v>5</x:v>
      </x:c>
      <x:c r="J195" s="1" t="b">
        <x:v>0</x:v>
      </x:c>
      <x:c r="K195" t="str">
        <x:v>Active</x:v>
      </x:c>
      <x:c r="L195" t="n">
        <x:v>729</x:v>
      </x:c>
      <x:c r="M195" t="str"/>
      <x:c r="N195" t="n">
        <x:v>0</x:v>
      </x:c>
      <x:c r="O195" t="n">
        <x:v>10</x:v>
      </x:c>
      <x:c r="P195" s="16" t="n">
        <x:v>19986</x:v>
      </x:c>
      <x:c r="Q195" t="n">
        <x:v>2</x:v>
      </x:c>
      <x:c r="R195" t="n">
        <x:v>1</x:v>
      </x:c>
      <x:c r="S195" t="n">
        <x:v>393</x:v>
      </x:c>
      <x:c r="T195" s="18" t="n">
        <x:v>30.843888888888888</x:v>
      </x:c>
      <x:c r="U195" t="n">
        <x:v>20</x:v>
      </x:c>
      <x:c r="V195" t="n">
        <x:v>28</x:v>
      </x:c>
      <x:c r="W195" t="n">
        <x:v>5</x:v>
      </x:c>
      <x:c r="X195" s="18" t="n">
        <x:v>26.6</x:v>
      </x:c>
      <x:c r="Y195" s="18" t="n">
        <x:v>91.6</x:v>
      </x:c>
      <x:c r="Z195" s="18" t="n">
        <x:v>4</x:v>
      </x:c>
      <x:c r="AA195" t="n">
        <x:v>0</x:v>
      </x:c>
    </x:row>
    <x:row r="196">
      <x:c r="A196" t="str">
        <x:v>A-53f4e3</x:v>
      </x:c>
      <x:c r="B196" t="str">
        <x:v>Company_194</x:v>
      </x:c>
      <x:c r="C196" t="str">
        <x:v>Cybersecurity</x:v>
      </x:c>
      <x:c r="D196" t="str">
        <x:v>UK</x:v>
      </x:c>
      <x:c r="E196" s="14" t="n">
        <x:v>45457</x:v>
      </x:c>
      <x:c r="F196" t="str">
        <x:v>2024-06</x:v>
      </x:c>
      <x:c r="G196" t="str">
        <x:v>event</x:v>
      </x:c>
      <x:c r="H196" t="str">
        <x:v>Enterprise</x:v>
      </x:c>
      <x:c r="I196" t="n">
        <x:v>13</x:v>
      </x:c>
      <x:c r="J196" s="1" t="b">
        <x:v>0</x:v>
      </x:c>
      <x:c r="K196" t="str">
        <x:v>Active</x:v>
      </x:c>
      <x:c r="L196" t="n">
        <x:v>200</x:v>
      </x:c>
      <x:c r="M196" t="str"/>
      <x:c r="N196" t="n">
        <x:v>1</x:v>
      </x:c>
      <x:c r="O196" t="n">
        <x:v>10</x:v>
      </x:c>
      <x:c r="P196" s="16" t="n">
        <x:v>11092</x:v>
      </x:c>
      <x:c r="Q196" t="n">
        <x:v>0</x:v>
      </x:c>
      <x:c r="R196" t="n">
        <x:v>0</x:v>
      </x:c>
      <x:c r="S196" t="n">
        <x:v>410</x:v>
      </x:c>
      <x:c r="T196" s="18" t="n">
        <x:v>35.42472222222222</x:v>
      </x:c>
      <x:c r="U196" t="n">
        <x:v>45</x:v>
      </x:c>
      <x:c r="V196" t="n">
        <x:v>29</x:v>
      </x:c>
      <x:c r="W196" t="n">
        <x:v>5</x:v>
      </x:c>
      <x:c r="X196" s="18" t="n">
        <x:v>28.6</x:v>
      </x:c>
      <x:c r="Y196" s="18" t="n">
        <x:v>99</x:v>
      </x:c>
      <x:c r="Z196" s="18" t="n">
        <x:v>4</x:v>
      </x:c>
      <x:c r="AA196" t="n">
        <x:v>0</x:v>
      </x:c>
    </x:row>
    <x:row r="197">
      <x:c r="A197" t="str">
        <x:v>A-692f18</x:v>
      </x:c>
      <x:c r="B197" t="str">
        <x:v>Company_195</x:v>
      </x:c>
      <x:c r="C197" t="str">
        <x:v>EdTech</x:v>
      </x:c>
      <x:c r="D197" t="str">
        <x:v>US</x:v>
      </x:c>
      <x:c r="E197" s="14" t="n">
        <x:v>45379</x:v>
      </x:c>
      <x:c r="F197" t="str">
        <x:v>2024-03</x:v>
      </x:c>
      <x:c r="G197" t="str">
        <x:v>other</x:v>
      </x:c>
      <x:c r="H197" t="str">
        <x:v>Basic</x:v>
      </x:c>
      <x:c r="I197" t="n">
        <x:v>5</x:v>
      </x:c>
      <x:c r="J197" s="1" t="b">
        <x:v>1</x:v>
      </x:c>
      <x:c r="K197" t="str">
        <x:v>Churned</x:v>
      </x:c>
      <x:c r="L197" t="n">
        <x:v>270</x:v>
      </x:c>
      <x:c r="M197" t="str">
        <x:v>support</x:v>
      </x:c>
      <x:c r="N197" t="n">
        <x:v>1</x:v>
      </x:c>
      <x:c r="O197" t="n">
        <x:v>17</x:v>
      </x:c>
      <x:c r="P197" s="16" t="n">
        <x:v>24978</x:v>
      </x:c>
      <x:c r="Q197" t="n">
        <x:v>2</x:v>
      </x:c>
      <x:c r="R197" t="n">
        <x:v>1</x:v>
      </x:c>
      <x:c r="S197" t="n">
        <x:v>871</x:v>
      </x:c>
      <x:c r="T197" s="18" t="n">
        <x:v>72.75305555555556</x:v>
      </x:c>
      <x:c r="U197" t="n">
        <x:v>55</x:v>
      </x:c>
      <x:c r="V197" t="n">
        <x:v>36</x:v>
      </x:c>
      <x:c r="W197" t="n">
        <x:v>2</x:v>
      </x:c>
      <x:c r="X197" s="18" t="n">
        <x:v>37.5</x:v>
      </x:c>
      <x:c r="Y197" s="18" t="n">
        <x:v>120</x:v>
      </x:c>
      <x:c r="Z197" s="18" t="n">
        <x:v>5</x:v>
      </x:c>
      <x:c r="AA197" t="n">
        <x:v>0</x:v>
      </x:c>
    </x:row>
    <x:row r="198">
      <x:c r="A198" t="str">
        <x:v>A-13466a</x:v>
      </x:c>
      <x:c r="B198" t="str">
        <x:v>Company_196</x:v>
      </x:c>
      <x:c r="C198" t="str">
        <x:v>DevTools</x:v>
      </x:c>
      <x:c r="D198" t="str">
        <x:v>AU</x:v>
      </x:c>
      <x:c r="E198" s="14" t="n">
        <x:v>45221</x:v>
      </x:c>
      <x:c r="F198" t="str">
        <x:v>2023-10</x:v>
      </x:c>
      <x:c r="G198" t="str">
        <x:v>event</x:v>
      </x:c>
      <x:c r="H198" t="str">
        <x:v>Basic</x:v>
      </x:c>
      <x:c r="I198" t="n">
        <x:v>2</x:v>
      </x:c>
      <x:c r="J198" s="1" t="b">
        <x:v>0</x:v>
      </x:c>
      <x:c r="K198" t="str">
        <x:v>Churned</x:v>
      </x:c>
      <x:c r="L198" t="n">
        <x:v>179</x:v>
      </x:c>
      <x:c r="M198" t="str">
        <x:v>pricing</x:v>
      </x:c>
      <x:c r="N198" t="n">
        <x:v>2</x:v>
      </x:c>
      <x:c r="O198" t="n">
        <x:v>6</x:v>
      </x:c>
      <x:c r="P198" s="16" t="n">
        <x:v>171</x:v>
      </x:c>
      <x:c r="Q198" t="n">
        <x:v>0</x:v>
      </x:c>
      <x:c r="R198" t="n">
        <x:v>0</x:v>
      </x:c>
      <x:c r="S198" t="n">
        <x:v>205</x:v>
      </x:c>
      <x:c r="T198" s="18" t="n">
        <x:v>15.983055555555556</x:v>
      </x:c>
      <x:c r="U198" t="n">
        <x:v>14</x:v>
      </x:c>
      <x:c r="V198" t="n">
        <x:v>17</x:v>
      </x:c>
      <x:c r="W198" t="n">
        <x:v>3</x:v>
      </x:c>
      <x:c r="X198" s="18" t="n">
        <x:v>32.333333333333336</x:v>
      </x:c>
      <x:c r="Y198" s="18" t="n">
        <x:v>94.33333333333333</x:v>
      </x:c>
      <x:c r="Z198" s="18" t="n">
        <x:v>4.333333333333333</x:v>
      </x:c>
      <x:c r="AA198" t="n">
        <x:v>1</x:v>
      </x:c>
    </x:row>
    <x:row r="199">
      <x:c r="A199" t="str">
        <x:v>A-1986ca</x:v>
      </x:c>
      <x:c r="B199" t="str">
        <x:v>Company_197</x:v>
      </x:c>
      <x:c r="C199" t="str">
        <x:v>HealthTech</x:v>
      </x:c>
      <x:c r="D199" t="str">
        <x:v>IN</x:v>
      </x:c>
      <x:c r="E199" s="14" t="n">
        <x:v>44956</x:v>
      </x:c>
      <x:c r="F199" t="str">
        <x:v>2023-01</x:v>
      </x:c>
      <x:c r="G199" t="str">
        <x:v>ads</x:v>
      </x:c>
      <x:c r="H199" t="str">
        <x:v>Pro</x:v>
      </x:c>
      <x:c r="I199" t="n">
        <x:v>20</x:v>
      </x:c>
      <x:c r="J199" s="1" t="b">
        <x:v>0</x:v>
      </x:c>
      <x:c r="K199" t="str">
        <x:v>Active</x:v>
      </x:c>
      <x:c r="L199" t="n">
        <x:v>701</x:v>
      </x:c>
      <x:c r="M199" t="str"/>
      <x:c r="N199" t="n">
        <x:v>0</x:v>
      </x:c>
      <x:c r="O199" t="n">
        <x:v>7</x:v>
      </x:c>
      <x:c r="P199" s="16" t="n">
        <x:v>27661</x:v>
      </x:c>
      <x:c r="Q199" t="n">
        <x:v>1</x:v>
      </x:c>
      <x:c r="R199" t="n">
        <x:v>0</x:v>
      </x:c>
      <x:c r="S199" t="n">
        <x:v>362</x:v>
      </x:c>
      <x:c r="T199" s="18" t="n">
        <x:v>28.439444444444444</x:v>
      </x:c>
      <x:c r="U199" t="n">
        <x:v>23</x:v>
      </x:c>
      <x:c r="V199" t="n">
        <x:v>26</x:v>
      </x:c>
      <x:c r="W199" t="n">
        <x:v>7</x:v>
      </x:c>
      <x:c r="X199" s="18" t="n">
        <x:v>36.57142857142857</x:v>
      </x:c>
      <x:c r="Y199" s="18" t="n">
        <x:v>106.57142857142857</x:v>
      </x:c>
      <x:c r="Z199" s="18" t="n">
        <x:v>3.4</x:v>
      </x:c>
      <x:c r="AA199" t="n">
        <x:v>0</x:v>
      </x:c>
    </x:row>
    <x:row r="200">
      <x:c r="A200" t="str">
        <x:v>A-0cc442</x:v>
      </x:c>
      <x:c r="B200" t="str">
        <x:v>Company_198</x:v>
      </x:c>
      <x:c r="C200" t="str">
        <x:v>EdTech</x:v>
      </x:c>
      <x:c r="D200" t="str">
        <x:v>US</x:v>
      </x:c>
      <x:c r="E200" s="14" t="n">
        <x:v>45491</x:v>
      </x:c>
      <x:c r="F200" t="str">
        <x:v>2024-07</x:v>
      </x:c>
      <x:c r="G200" t="str">
        <x:v>organic</x:v>
      </x:c>
      <x:c r="H200" t="str">
        <x:v>Basic</x:v>
      </x:c>
      <x:c r="I200" t="n">
        <x:v>45</x:v>
      </x:c>
      <x:c r="J200" s="1" t="b">
        <x:v>0</x:v>
      </x:c>
      <x:c r="K200" t="str">
        <x:v>Active</x:v>
      </x:c>
      <x:c r="L200" t="n">
        <x:v>166</x:v>
      </x:c>
      <x:c r="M200" t="str"/>
      <x:c r="N200" t="n">
        <x:v>4</x:v>
      </x:c>
      <x:c r="O200" t="n">
        <x:v>13</x:v>
      </x:c>
      <x:c r="P200" s="16" t="n">
        <x:v>60092</x:v>
      </x:c>
      <x:c r="Q200" t="n">
        <x:v>3</x:v>
      </x:c>
      <x:c r="R200" t="n">
        <x:v>1</x:v>
      </x:c>
      <x:c r="S200" t="n">
        <x:v>765</x:v>
      </x:c>
      <x:c r="T200" s="18" t="n">
        <x:v>64.09972222222223</x:v>
      </x:c>
      <x:c r="U200" t="n">
        <x:v>41</x:v>
      </x:c>
      <x:c r="V200" t="n">
        <x:v>34</x:v>
      </x:c>
      <x:c r="W200" t="n">
        <x:v>3</x:v>
      </x:c>
      <x:c r="X200" s="18" t="n">
        <x:v>37</x:v>
      </x:c>
      <x:c r="Y200" s="18" t="n">
        <x:v>47.333333333333336</x:v>
      </x:c>
      <x:c r="Z200" s="18" t="n">
        <x:v>3</x:v>
      </x:c>
      <x:c r="AA200" t="n">
        <x:v>0</x:v>
      </x:c>
    </x:row>
    <x:row r="201">
      <x:c r="A201" t="str">
        <x:v>A-c608c8</x:v>
      </x:c>
      <x:c r="B201" t="str">
        <x:v>Company_199</x:v>
      </x:c>
      <x:c r="C201" t="str">
        <x:v>DevTools</x:v>
      </x:c>
      <x:c r="D201" t="str">
        <x:v>DE</x:v>
      </x:c>
      <x:c r="E201" s="14" t="n">
        <x:v>45043</x:v>
      </x:c>
      <x:c r="F201" t="str">
        <x:v>2023-04</x:v>
      </x:c>
      <x:c r="G201" t="str">
        <x:v>ads</x:v>
      </x:c>
      <x:c r="H201" t="str">
        <x:v>Pro</x:v>
      </x:c>
      <x:c r="I201" t="n">
        <x:v>3</x:v>
      </x:c>
      <x:c r="J201" s="1" t="b">
        <x:v>0</x:v>
      </x:c>
      <x:c r="K201" t="str">
        <x:v>Churned</x:v>
      </x:c>
      <x:c r="L201" t="n">
        <x:v>404</x:v>
      </x:c>
      <x:c r="M201" t="str">
        <x:v>support</x:v>
      </x:c>
      <x:c r="N201" t="n">
        <x:v>1</x:v>
      </x:c>
      <x:c r="O201" t="n">
        <x:v>8</x:v>
      </x:c>
      <x:c r="P201" s="16" t="n">
        <x:v>7325</x:v>
      </x:c>
      <x:c r="Q201" t="n">
        <x:v>1</x:v>
      </x:c>
      <x:c r="R201" t="n">
        <x:v>1</x:v>
      </x:c>
      <x:c r="S201" t="n">
        <x:v>445</x:v>
      </x:c>
      <x:c r="T201" s="18" t="n">
        <x:v>40.09583333333333</x:v>
      </x:c>
      <x:c r="U201" t="n">
        <x:v>27</x:v>
      </x:c>
      <x:c r="V201" t="n">
        <x:v>29</x:v>
      </x:c>
      <x:c r="W201" t="n">
        <x:v>2</x:v>
      </x:c>
      <x:c r="X201" s="18" t="n">
        <x:v>59</x:v>
      </x:c>
      <x:c r="Y201" s="18" t="n">
        <x:v>66</x:v>
      </x:c>
      <x:c r="Z201" s="18" t="n">
        <x:v>3</x:v>
      </x:c>
      <x:c r="AA201" t="n">
        <x:v>0</x:v>
      </x:c>
    </x:row>
    <x:row r="202">
      <x:c r="A202" t="str">
        <x:v>A-3be56b</x:v>
      </x:c>
      <x:c r="B202" t="str">
        <x:v>Company_200</x:v>
      </x:c>
      <x:c r="C202" t="str">
        <x:v>HealthTech</x:v>
      </x:c>
      <x:c r="D202" t="str">
        <x:v>IN</x:v>
      </x:c>
      <x:c r="E202" s="14" t="n">
        <x:v>45225</x:v>
      </x:c>
      <x:c r="F202" t="str">
        <x:v>2023-10</x:v>
      </x:c>
      <x:c r="G202" t="str">
        <x:v>event</x:v>
      </x:c>
      <x:c r="H202" t="str">
        <x:v>Pro</x:v>
      </x:c>
      <x:c r="I202" t="n">
        <x:v>3</x:v>
      </x:c>
      <x:c r="J202" s="1" t="b">
        <x:v>0</x:v>
      </x:c>
      <x:c r="K202" t="str">
        <x:v>Churned</x:v>
      </x:c>
      <x:c r="L202" t="n">
        <x:v>238</x:v>
      </x:c>
      <x:c r="M202" t="str">
        <x:v>pricing</x:v>
      </x:c>
      <x:c r="N202" t="n">
        <x:v>2</x:v>
      </x:c>
      <x:c r="O202" t="n">
        <x:v>12</x:v>
      </x:c>
      <x:c r="P202" s="16" t="n">
        <x:v>15325</x:v>
      </x:c>
      <x:c r="Q202" t="n">
        <x:v>1</x:v>
      </x:c>
      <x:c r="R202" t="n">
        <x:v>1</x:v>
      </x:c>
      <x:c r="S202" t="n">
        <x:v>528</x:v>
      </x:c>
      <x:c r="T202" s="18" t="n">
        <x:v>47.196666666666665</x:v>
      </x:c>
      <x:c r="U202" t="n">
        <x:v>33</x:v>
      </x:c>
      <x:c r="V202" t="n">
        <x:v>28</x:v>
      </x:c>
      <x:c r="W202" t="n">
        <x:v>4</x:v>
      </x:c>
      <x:c r="X202" s="18" t="n">
        <x:v>40.25</x:v>
      </x:c>
      <x:c r="Y202" s="18" t="n">
        <x:v>74</x:v>
      </x:c>
      <x:c r="Z202" s="18" t="n">
        <x:v>3.5</x:v>
      </x:c>
      <x:c r="AA202" t="n">
        <x:v>0</x:v>
      </x:c>
    </x:row>
    <x:row r="203">
      <x:c r="A203" t="str">
        <x:v>A-354f12</x:v>
      </x:c>
      <x:c r="B203" t="str">
        <x:v>Company_201</x:v>
      </x:c>
      <x:c r="C203" t="str">
        <x:v>FinTech</x:v>
      </x:c>
      <x:c r="D203" t="str">
        <x:v>US</x:v>
      </x:c>
      <x:c r="E203" s="14" t="n">
        <x:v>45410</x:v>
      </x:c>
      <x:c r="F203" t="str">
        <x:v>2024-04</x:v>
      </x:c>
      <x:c r="G203" t="str">
        <x:v>ads</x:v>
      </x:c>
      <x:c r="H203" t="str">
        <x:v>Pro</x:v>
      </x:c>
      <x:c r="I203" t="n">
        <x:v>1</x:v>
      </x:c>
      <x:c r="J203" s="1" t="b">
        <x:v>1</x:v>
      </x:c>
      <x:c r="K203" t="str">
        <x:v>Active</x:v>
      </x:c>
      <x:c r="L203" t="n">
        <x:v>247</x:v>
      </x:c>
      <x:c r="M203" t="str"/>
      <x:c r="N203" t="n">
        <x:v>1</x:v>
      </x:c>
      <x:c r="O203" t="n">
        <x:v>4</x:v>
      </x:c>
      <x:c r="P203" s="16" t="n">
        <x:v>8889</x:v>
      </x:c>
      <x:c r="Q203" t="n">
        <x:v>0</x:v>
      </x:c>
      <x:c r="R203" t="n">
        <x:v>1</x:v>
      </x:c>
      <x:c r="S203" t="n">
        <x:v>158</x:v>
      </x:c>
      <x:c r="T203" s="18" t="n">
        <x:v>13.475</x:v>
      </x:c>
      <x:c r="U203" t="n">
        <x:v>3</x:v>
      </x:c>
      <x:c r="V203" t="n">
        <x:v>14</x:v>
      </x:c>
      <x:c r="W203" t="n">
        <x:v>2</x:v>
      </x:c>
      <x:c r="X203" s="18" t="n">
        <x:v>56.5</x:v>
      </x:c>
      <x:c r="Y203" s="18" t="n">
        <x:v>137.5</x:v>
      </x:c>
      <x:c r="Z203" s="18"/>
      <x:c r="AA203" t="n">
        <x:v>0</x:v>
      </x:c>
    </x:row>
    <x:row r="204">
      <x:c r="A204" t="str">
        <x:v>A-68f37c</x:v>
      </x:c>
      <x:c r="B204" t="str">
        <x:v>Company_202</x:v>
      </x:c>
      <x:c r="C204" t="str">
        <x:v>HealthTech</x:v>
      </x:c>
      <x:c r="D204" t="str">
        <x:v>US</x:v>
      </x:c>
      <x:c r="E204" s="14" t="n">
        <x:v>45122</x:v>
      </x:c>
      <x:c r="F204" t="str">
        <x:v>2023-07</x:v>
      </x:c>
      <x:c r="G204" t="str">
        <x:v>ads</x:v>
      </x:c>
      <x:c r="H204" t="str">
        <x:v>Basic</x:v>
      </x:c>
      <x:c r="I204" t="n">
        <x:v>4</x:v>
      </x:c>
      <x:c r="J204" s="1" t="b">
        <x:v>0</x:v>
      </x:c>
      <x:c r="K204" t="str">
        <x:v>Active</x:v>
      </x:c>
      <x:c r="L204" t="n">
        <x:v>535</x:v>
      </x:c>
      <x:c r="M204" t="str"/>
      <x:c r="N204" t="n">
        <x:v>4</x:v>
      </x:c>
      <x:c r="O204" t="n">
        <x:v>12</x:v>
      </x:c>
      <x:c r="P204" s="16" t="n">
        <x:v>31474</x:v>
      </x:c>
      <x:c r="Q204" t="n">
        <x:v>3</x:v>
      </x:c>
      <x:c r="R204" t="n">
        <x:v>0</x:v>
      </x:c>
      <x:c r="S204" t="n">
        <x:v>624</x:v>
      </x:c>
      <x:c r="T204" s="18" t="n">
        <x:v>56.32111111111111</x:v>
      </x:c>
      <x:c r="U204" t="n">
        <x:v>40</x:v>
      </x:c>
      <x:c r="V204" t="n">
        <x:v>30</x:v>
      </x:c>
      <x:c r="W204" t="n">
        <x:v>5</x:v>
      </x:c>
      <x:c r="X204" s="18" t="n">
        <x:v>20.2</x:v>
      </x:c>
      <x:c r="Y204" s="18" t="n">
        <x:v>119.8</x:v>
      </x:c>
      <x:c r="Z204" s="18" t="n">
        <x:v>4</x:v>
      </x:c>
      <x:c r="AA204" t="n">
        <x:v>0</x:v>
      </x:c>
    </x:row>
    <x:row r="205">
      <x:c r="A205" t="str">
        <x:v>A-aa9511</x:v>
      </x:c>
      <x:c r="B205" t="str">
        <x:v>Company_203</x:v>
      </x:c>
      <x:c r="C205" t="str">
        <x:v>DevTools</x:v>
      </x:c>
      <x:c r="D205" t="str">
        <x:v>US</x:v>
      </x:c>
      <x:c r="E205" s="14" t="n">
        <x:v>45209</x:v>
      </x:c>
      <x:c r="F205" t="str">
        <x:v>2023-10</x:v>
      </x:c>
      <x:c r="G205" t="str">
        <x:v>other</x:v>
      </x:c>
      <x:c r="H205" t="str">
        <x:v>Pro</x:v>
      </x:c>
      <x:c r="I205" t="n">
        <x:v>23</x:v>
      </x:c>
      <x:c r="J205" s="1" t="b">
        <x:v>1</x:v>
      </x:c>
      <x:c r="K205" t="str">
        <x:v>Active</x:v>
      </x:c>
      <x:c r="L205" t="n">
        <x:v>448</x:v>
      </x:c>
      <x:c r="M205" t="str"/>
      <x:c r="N205" t="n">
        <x:v>1</x:v>
      </x:c>
      <x:c r="O205" t="n">
        <x:v>15</x:v>
      </x:c>
      <x:c r="P205" s="16" t="n">
        <x:v>55995</x:v>
      </x:c>
      <x:c r="Q205" t="n">
        <x:v>0</x:v>
      </x:c>
      <x:c r="R205" t="n">
        <x:v>1</x:v>
      </x:c>
      <x:c r="S205" t="n">
        <x:v>625</x:v>
      </x:c>
      <x:c r="T205" s="18" t="n">
        <x:v>52.64611111111111</x:v>
      </x:c>
      <x:c r="U205" t="n">
        <x:v>35</x:v>
      </x:c>
      <x:c r="V205" t="n">
        <x:v>33</x:v>
      </x:c>
      <x:c r="W205" t="n">
        <x:v>2</x:v>
      </x:c>
      <x:c r="X205" s="18" t="n">
        <x:v>56.5</x:v>
      </x:c>
      <x:c r="Y205" s="18" t="n">
        <x:v>98.5</x:v>
      </x:c>
      <x:c r="Z205" s="18" t="n">
        <x:v>4</x:v>
      </x:c>
      <x:c r="AA205" t="n">
        <x:v>0</x:v>
      </x:c>
    </x:row>
    <x:row r="206">
      <x:c r="A206" t="str">
        <x:v>A-af0cd2</x:v>
      </x:c>
      <x:c r="B206" t="str">
        <x:v>Company_204</x:v>
      </x:c>
      <x:c r="C206" t="str">
        <x:v>Cybersecurity</x:v>
      </x:c>
      <x:c r="D206" t="str">
        <x:v>IN</x:v>
      </x:c>
      <x:c r="E206" s="14" t="n">
        <x:v>44929</x:v>
      </x:c>
      <x:c r="F206" t="str">
        <x:v>2023-01</x:v>
      </x:c>
      <x:c r="G206" t="str">
        <x:v>other</x:v>
      </x:c>
      <x:c r="H206" t="str">
        <x:v>Enterprise</x:v>
      </x:c>
      <x:c r="I206" t="n">
        <x:v>19</x:v>
      </x:c>
      <x:c r="J206" s="1" t="b">
        <x:v>1</x:v>
      </x:c>
      <x:c r="K206" t="str">
        <x:v>Active</x:v>
      </x:c>
      <x:c r="L206" t="n">
        <x:v>728</x:v>
      </x:c>
      <x:c r="M206" t="str"/>
      <x:c r="N206" t="n">
        <x:v>1</x:v>
      </x:c>
      <x:c r="O206" t="n">
        <x:v>11</x:v>
      </x:c>
      <x:c r="P206" s="16" t="n">
        <x:v>5529</x:v>
      </x:c>
      <x:c r="Q206" t="n">
        <x:v>1</x:v>
      </x:c>
      <x:c r="R206" t="n">
        <x:v>0</x:v>
      </x:c>
      <x:c r="S206" t="n">
        <x:v>687</x:v>
      </x:c>
      <x:c r="T206" s="18" t="n">
        <x:v>62.60166666666667</x:v>
      </x:c>
      <x:c r="U206" t="n">
        <x:v>33</x:v>
      </x:c>
      <x:c r="V206" t="n">
        <x:v>31</x:v>
      </x:c>
      <x:c r="W206" t="n">
        <x:v>3</x:v>
      </x:c>
      <x:c r="X206" s="18" t="n">
        <x:v>54.333333333333336</x:v>
      </x:c>
      <x:c r="Y206" s="18" t="n">
        <x:v>149.33333333333334</x:v>
      </x:c>
      <x:c r="Z206" s="18"/>
      <x:c r="AA206" t="n">
        <x:v>0</x:v>
      </x:c>
    </x:row>
    <x:row r="207">
      <x:c r="A207" t="str">
        <x:v>A-bd4513</x:v>
      </x:c>
      <x:c r="B207" t="str">
        <x:v>Company_205</x:v>
      </x:c>
      <x:c r="C207" t="str">
        <x:v>DevTools</x:v>
      </x:c>
      <x:c r="D207" t="str">
        <x:v>AU</x:v>
      </x:c>
      <x:c r="E207" s="14" t="n">
        <x:v>45602</x:v>
      </x:c>
      <x:c r="F207" t="str">
        <x:v>2024-11</x:v>
      </x:c>
      <x:c r="G207" t="str">
        <x:v>event</x:v>
      </x:c>
      <x:c r="H207" t="str">
        <x:v>Enterprise</x:v>
      </x:c>
      <x:c r="I207" t="n">
        <x:v>50</x:v>
      </x:c>
      <x:c r="J207" s="1" t="b">
        <x:v>1</x:v>
      </x:c>
      <x:c r="K207" t="str">
        <x:v>Active</x:v>
      </x:c>
      <x:c r="L207" t="n">
        <x:v>55</x:v>
      </x:c>
      <x:c r="M207" t="str"/>
      <x:c r="N207" t="n">
        <x:v>2</x:v>
      </x:c>
      <x:c r="O207" t="n">
        <x:v>12</x:v>
      </x:c>
      <x:c r="P207" s="16" t="n">
        <x:v>48804</x:v>
      </x:c>
      <x:c r="Q207" t="n">
        <x:v>2</x:v>
      </x:c>
      <x:c r="R207" t="n">
        <x:v>0</x:v>
      </x:c>
      <x:c r="S207" t="n">
        <x:v>507</x:v>
      </x:c>
      <x:c r="T207" s="18" t="n">
        <x:v>43.76305555555555</x:v>
      </x:c>
      <x:c r="U207" t="n">
        <x:v>34</x:v>
      </x:c>
      <x:c r="V207" t="n">
        <x:v>28</x:v>
      </x:c>
      <x:c r="W207" t="n">
        <x:v>3</x:v>
      </x:c>
      <x:c r="X207" s="18" t="n">
        <x:v>42</x:v>
      </x:c>
      <x:c r="Y207" s="18" t="n">
        <x:v>58.666666666666664</x:v>
      </x:c>
      <x:c r="Z207" s="18" t="n">
        <x:v>4.666666666666667</x:v>
      </x:c>
      <x:c r="AA207" t="n">
        <x:v>0</x:v>
      </x:c>
    </x:row>
    <x:row r="208">
      <x:c r="A208" t="str">
        <x:v>A-c222ab</x:v>
      </x:c>
      <x:c r="B208" t="str">
        <x:v>Company_206</x:v>
      </x:c>
      <x:c r="C208" t="str">
        <x:v>Cybersecurity</x:v>
      </x:c>
      <x:c r="D208" t="str">
        <x:v>US</x:v>
      </x:c>
      <x:c r="E208" s="14" t="n">
        <x:v>45422</x:v>
      </x:c>
      <x:c r="F208" t="str">
        <x:v>2024-05</x:v>
      </x:c>
      <x:c r="G208" t="str">
        <x:v>other</x:v>
      </x:c>
      <x:c r="H208" t="str">
        <x:v>Pro</x:v>
      </x:c>
      <x:c r="I208" t="n">
        <x:v>32</x:v>
      </x:c>
      <x:c r="J208" s="1" t="b">
        <x:v>0</x:v>
      </x:c>
      <x:c r="K208" t="str">
        <x:v>Churned</x:v>
      </x:c>
      <x:c r="L208" t="n">
        <x:v>148</x:v>
      </x:c>
      <x:c r="M208" t="str">
        <x:v>support</x:v>
      </x:c>
      <x:c r="N208" t="n">
        <x:v>3</x:v>
      </x:c>
      <x:c r="O208" t="n">
        <x:v>7</x:v>
      </x:c>
      <x:c r="P208" s="16" t="n">
        <x:v>18048</x:v>
      </x:c>
      <x:c r="Q208" t="n">
        <x:v>1</x:v>
      </x:c>
      <x:c r="R208" t="n">
        <x:v>0</x:v>
      </x:c>
      <x:c r="S208" t="n">
        <x:v>435</x:v>
      </x:c>
      <x:c r="T208" s="18" t="n">
        <x:v>37.066944444444445</x:v>
      </x:c>
      <x:c r="U208" t="n">
        <x:v>33</x:v>
      </x:c>
      <x:c r="V208" t="n">
        <x:v>27</x:v>
      </x:c>
      <x:c r="W208" t="n">
        <x:v>4</x:v>
      </x:c>
      <x:c r="X208" s="18" t="n">
        <x:v>39</x:v>
      </x:c>
      <x:c r="Y208" s="18" t="n">
        <x:v>94.5</x:v>
      </x:c>
      <x:c r="Z208" s="18" t="n">
        <x:v>5</x:v>
      </x:c>
      <x:c r="AA208" t="n">
        <x:v>0</x:v>
      </x:c>
    </x:row>
    <x:row r="209">
      <x:c r="A209" t="str">
        <x:v>A-34d880</x:v>
      </x:c>
      <x:c r="B209" t="str">
        <x:v>Company_207</x:v>
      </x:c>
      <x:c r="C209" t="str">
        <x:v>Cybersecurity</x:v>
      </x:c>
      <x:c r="D209" t="str">
        <x:v>AU</x:v>
      </x:c>
      <x:c r="E209" s="14" t="n">
        <x:v>45393</x:v>
      </x:c>
      <x:c r="F209" t="str">
        <x:v>2024-04</x:v>
      </x:c>
      <x:c r="G209" t="str">
        <x:v>ads</x:v>
      </x:c>
      <x:c r="H209" t="str">
        <x:v>Enterprise</x:v>
      </x:c>
      <x:c r="I209" t="n">
        <x:v>4</x:v>
      </x:c>
      <x:c r="J209" s="1" t="b">
        <x:v>0</x:v>
      </x:c>
      <x:c r="K209" t="str">
        <x:v>Active</x:v>
      </x:c>
      <x:c r="L209" t="n">
        <x:v>264</x:v>
      </x:c>
      <x:c r="M209" t="str"/>
      <x:c r="N209" t="n">
        <x:v>1</x:v>
      </x:c>
      <x:c r="O209" t="n">
        <x:v>9</x:v>
      </x:c>
      <x:c r="P209" s="16" t="n">
        <x:v>20185</x:v>
      </x:c>
      <x:c r="Q209" t="n">
        <x:v>0</x:v>
      </x:c>
      <x:c r="R209" t="n">
        <x:v>0</x:v>
      </x:c>
      <x:c r="S209" t="n">
        <x:v>474</x:v>
      </x:c>
      <x:c r="T209" s="18" t="n">
        <x:v>40.117777777777775</x:v>
      </x:c>
      <x:c r="U209" t="n">
        <x:v>40</x:v>
      </x:c>
      <x:c r="V209" t="n">
        <x:v>29</x:v>
      </x:c>
      <x:c r="W209" t="n">
        <x:v>5</x:v>
      </x:c>
      <x:c r="X209" s="18" t="n">
        <x:v>52.2</x:v>
      </x:c>
      <x:c r="Y209" s="18" t="n">
        <x:v>90.8</x:v>
      </x:c>
      <x:c r="Z209" s="18" t="n">
        <x:v>3</x:v>
      </x:c>
      <x:c r="AA209" t="n">
        <x:v>0</x:v>
      </x:c>
    </x:row>
    <x:row r="210">
      <x:c r="A210" t="str">
        <x:v>A-508199</x:v>
      </x:c>
      <x:c r="B210" t="str">
        <x:v>Company_208</x:v>
      </x:c>
      <x:c r="C210" t="str">
        <x:v>FinTech</x:v>
      </x:c>
      <x:c r="D210" t="str">
        <x:v>AU</x:v>
      </x:c>
      <x:c r="E210" s="14" t="n">
        <x:v>45319</x:v>
      </x:c>
      <x:c r="F210" t="str">
        <x:v>2024-01</x:v>
      </x:c>
      <x:c r="G210" t="str">
        <x:v>event</x:v>
      </x:c>
      <x:c r="H210" t="str">
        <x:v>Basic</x:v>
      </x:c>
      <x:c r="I210" t="n">
        <x:v>19</x:v>
      </x:c>
      <x:c r="J210" s="1" t="b">
        <x:v>0</x:v>
      </x:c>
      <x:c r="K210" t="str">
        <x:v>Active</x:v>
      </x:c>
      <x:c r="L210" t="n">
        <x:v>338</x:v>
      </x:c>
      <x:c r="M210" t="str"/>
      <x:c r="N210" t="n">
        <x:v>0</x:v>
      </x:c>
      <x:c r="O210" t="n">
        <x:v>5</x:v>
      </x:c>
      <x:c r="P210" s="16" t="n">
        <x:v>8436</x:v>
      </x:c>
      <x:c r="Q210" t="n">
        <x:v>0</x:v>
      </x:c>
      <x:c r="R210" t="n">
        <x:v>0</x:v>
      </x:c>
      <x:c r="S210" t="n">
        <x:v>231</x:v>
      </x:c>
      <x:c r="T210" s="18" t="n">
        <x:v>22.330277777777777</x:v>
      </x:c>
      <x:c r="U210" t="n">
        <x:v>15</x:v>
      </x:c>
      <x:c r="V210" t="n">
        <x:v>16</x:v>
      </x:c>
      <x:c r="W210" t="n">
        <x:v>3</x:v>
      </x:c>
      <x:c r="X210" s="18" t="n">
        <x:v>50.666666666666664</x:v>
      </x:c>
      <x:c r="Y210" s="18" t="n">
        <x:v>67.33333333333333</x:v>
      </x:c>
      <x:c r="Z210" s="18" t="n">
        <x:v>3</x:v>
      </x:c>
      <x:c r="AA210" t="n">
        <x:v>0</x:v>
      </x:c>
    </x:row>
    <x:row r="211">
      <x:c r="A211" t="str">
        <x:v>A-f03140</x:v>
      </x:c>
      <x:c r="B211" t="str">
        <x:v>Company_209</x:v>
      </x:c>
      <x:c r="C211" t="str">
        <x:v>DevTools</x:v>
      </x:c>
      <x:c r="D211" t="str">
        <x:v>IN</x:v>
      </x:c>
      <x:c r="E211" s="14" t="n">
        <x:v>45252</x:v>
      </x:c>
      <x:c r="F211" t="str">
        <x:v>2023-11</x:v>
      </x:c>
      <x:c r="G211" t="str">
        <x:v>event</x:v>
      </x:c>
      <x:c r="H211" t="str">
        <x:v>Pro</x:v>
      </x:c>
      <x:c r="I211" t="n">
        <x:v>27</x:v>
      </x:c>
      <x:c r="J211" s="1" t="b">
        <x:v>1</x:v>
      </x:c>
      <x:c r="K211" t="str">
        <x:v>Active</x:v>
      </x:c>
      <x:c r="L211" t="n">
        <x:v>405</x:v>
      </x:c>
      <x:c r="M211" t="str"/>
      <x:c r="N211" t="n">
        <x:v>1</x:v>
      </x:c>
      <x:c r="O211" t="n">
        <x:v>10</x:v>
      </x:c>
      <x:c r="P211" s="16" t="n">
        <x:v>21075</x:v>
      </x:c>
      <x:c r="Q211" t="n">
        <x:v>1</x:v>
      </x:c>
      <x:c r="R211" t="n">
        <x:v>1</x:v>
      </x:c>
      <x:c r="S211" t="n">
        <x:v>595</x:v>
      </x:c>
      <x:c r="T211" s="18" t="n">
        <x:v>54.7125</x:v>
      </x:c>
      <x:c r="U211" t="n">
        <x:v>22</x:v>
      </x:c>
      <x:c r="V211" t="n">
        <x:v>32</x:v>
      </x:c>
      <x:c r="W211" t="n">
        <x:v>7</x:v>
      </x:c>
      <x:c r="X211" s="18" t="n">
        <x:v>36</x:v>
      </x:c>
      <x:c r="Y211" s="18" t="n">
        <x:v>113.14285714285714</x:v>
      </x:c>
      <x:c r="Z211" s="18" t="n">
        <x:v>3.6666666666666665</x:v>
      </x:c>
      <x:c r="AA211" t="n">
        <x:v>0</x:v>
      </x:c>
    </x:row>
    <x:row r="212">
      <x:c r="A212" t="str">
        <x:v>A-410e86</x:v>
      </x:c>
      <x:c r="B212" t="str">
        <x:v>Company_210</x:v>
      </x:c>
      <x:c r="C212" t="str">
        <x:v>FinTech</x:v>
      </x:c>
      <x:c r="D212" t="str">
        <x:v>US</x:v>
      </x:c>
      <x:c r="E212" s="14" t="n">
        <x:v>45606</x:v>
      </x:c>
      <x:c r="F212" t="str">
        <x:v>2024-11</x:v>
      </x:c>
      <x:c r="G212" t="str">
        <x:v>organic</x:v>
      </x:c>
      <x:c r="H212" t="str">
        <x:v>Basic</x:v>
      </x:c>
      <x:c r="I212" t="n">
        <x:v>24</x:v>
      </x:c>
      <x:c r="J212" s="1" t="b">
        <x:v>0</x:v>
      </x:c>
      <x:c r="K212" t="str">
        <x:v>Active</x:v>
      </x:c>
      <x:c r="L212" t="n">
        <x:v>51</x:v>
      </x:c>
      <x:c r="M212" t="str"/>
      <x:c r="N212" t="n">
        <x:v>0</x:v>
      </x:c>
      <x:c r="O212" t="n">
        <x:v>7</x:v>
      </x:c>
      <x:c r="P212" s="16" t="n">
        <x:v>11184</x:v>
      </x:c>
      <x:c r="Q212" t="n">
        <x:v>0</x:v>
      </x:c>
      <x:c r="R212" t="n">
        <x:v>0</x:v>
      </x:c>
      <x:c r="S212" t="n">
        <x:v>292</x:v>
      </x:c>
      <x:c r="T212" s="18" t="n">
        <x:v>29.845277777777778</x:v>
      </x:c>
      <x:c r="U212" t="n">
        <x:v>21</x:v>
      </x:c>
      <x:c r="V212" t="n">
        <x:v>22</x:v>
      </x:c>
      <x:c r="W212" t="n">
        <x:v>5</x:v>
      </x:c>
      <x:c r="X212" s="18" t="n">
        <x:v>42.6</x:v>
      </x:c>
      <x:c r="Y212" s="18" t="n">
        <x:v>110</x:v>
      </x:c>
      <x:c r="Z212" s="18" t="n">
        <x:v>3.5</x:v>
      </x:c>
      <x:c r="AA212" t="n">
        <x:v>0</x:v>
      </x:c>
    </x:row>
    <x:row r="213">
      <x:c r="A213" t="str">
        <x:v>A-fa2041</x:v>
      </x:c>
      <x:c r="B213" t="str">
        <x:v>Company_211</x:v>
      </x:c>
      <x:c r="C213" t="str">
        <x:v>HealthTech</x:v>
      </x:c>
      <x:c r="D213" t="str">
        <x:v>US</x:v>
      </x:c>
      <x:c r="E213" s="14" t="n">
        <x:v>45441</x:v>
      </x:c>
      <x:c r="F213" t="str">
        <x:v>2024-05</x:v>
      </x:c>
      <x:c r="G213" t="str">
        <x:v>organic</x:v>
      </x:c>
      <x:c r="H213" t="str">
        <x:v>Pro</x:v>
      </x:c>
      <x:c r="I213" t="n">
        <x:v>15</x:v>
      </x:c>
      <x:c r="J213" s="1" t="b">
        <x:v>1</x:v>
      </x:c>
      <x:c r="K213" t="str">
        <x:v>Active</x:v>
      </x:c>
      <x:c r="L213" t="n">
        <x:v>216</x:v>
      </x:c>
      <x:c r="M213" t="str"/>
      <x:c r="N213" t="n">
        <x:v>1</x:v>
      </x:c>
      <x:c r="O213" t="n">
        <x:v>12</x:v>
      </x:c>
      <x:c r="P213" s="16" t="n">
        <x:v>20915</x:v>
      </x:c>
      <x:c r="Q213" t="n">
        <x:v>0</x:v>
      </x:c>
      <x:c r="R213" t="n">
        <x:v>0</x:v>
      </x:c>
      <x:c r="S213" t="n">
        <x:v>552</x:v>
      </x:c>
      <x:c r="T213" s="18" t="n">
        <x:v>43.68416666666667</x:v>
      </x:c>
      <x:c r="U213" t="n">
        <x:v>34</x:v>
      </x:c>
      <x:c r="V213" t="n">
        <x:v>34</x:v>
      </x:c>
      <x:c r="W213" t="n">
        <x:v>1</x:v>
      </x:c>
      <x:c r="X213" s="18" t="n">
        <x:v>16</x:v>
      </x:c>
      <x:c r="Y213" s="18" t="n">
        <x:v>99</x:v>
      </x:c>
      <x:c r="Z213" s="18" t="n">
        <x:v>3</x:v>
      </x:c>
      <x:c r="AA213" t="n">
        <x:v>0</x:v>
      </x:c>
    </x:row>
    <x:row r="214">
      <x:c r="A214" t="str">
        <x:v>A-de58ca</x:v>
      </x:c>
      <x:c r="B214" t="str">
        <x:v>Company_212</x:v>
      </x:c>
      <x:c r="C214" t="str">
        <x:v>HealthTech</x:v>
      </x:c>
      <x:c r="D214" t="str">
        <x:v>DE</x:v>
      </x:c>
      <x:c r="E214" s="14" t="n">
        <x:v>45029</x:v>
      </x:c>
      <x:c r="F214" t="str">
        <x:v>2023-04</x:v>
      </x:c>
      <x:c r="G214" t="str">
        <x:v>organic</x:v>
      </x:c>
      <x:c r="H214" t="str">
        <x:v>Enterprise</x:v>
      </x:c>
      <x:c r="I214" t="n">
        <x:v>15</x:v>
      </x:c>
      <x:c r="J214" s="1" t="b">
        <x:v>0</x:v>
      </x:c>
      <x:c r="K214" t="str">
        <x:v>Active</x:v>
      </x:c>
      <x:c r="L214" t="n">
        <x:v>628</x:v>
      </x:c>
      <x:c r="M214" t="str"/>
      <x:c r="N214" t="n">
        <x:v>0</x:v>
      </x:c>
      <x:c r="O214" t="n">
        <x:v>11</x:v>
      </x:c>
      <x:c r="P214" s="16" t="n">
        <x:v>22277</x:v>
      </x:c>
      <x:c r="Q214" t="n">
        <x:v>0</x:v>
      </x:c>
      <x:c r="R214" t="n">
        <x:v>0</x:v>
      </x:c>
      <x:c r="S214" t="n">
        <x:v>505</x:v>
      </x:c>
      <x:c r="T214" s="18" t="n">
        <x:v>39.428333333333335</x:v>
      </x:c>
      <x:c r="U214" t="n">
        <x:v>33</x:v>
      </x:c>
      <x:c r="V214" t="n">
        <x:v>28</x:v>
      </x:c>
      <x:c r="W214" t="n">
        <x:v>5</x:v>
      </x:c>
      <x:c r="X214" s="18" t="n">
        <x:v>30.6</x:v>
      </x:c>
      <x:c r="Y214" s="18" t="n">
        <x:v>115</x:v>
      </x:c>
      <x:c r="Z214" s="18" t="n">
        <x:v>3.3333333333333335</x:v>
      </x:c>
      <x:c r="AA214" t="n">
        <x:v>0</x:v>
      </x:c>
    </x:row>
    <x:row r="215">
      <x:c r="A215" t="str">
        <x:v>A-05d3b3</x:v>
      </x:c>
      <x:c r="B215" t="str">
        <x:v>Company_213</x:v>
      </x:c>
      <x:c r="C215" t="str">
        <x:v>DevTools</x:v>
      </x:c>
      <x:c r="D215" t="str">
        <x:v>AU</x:v>
      </x:c>
      <x:c r="E215" s="14" t="n">
        <x:v>45074</x:v>
      </x:c>
      <x:c r="F215" t="str">
        <x:v>2023-05</x:v>
      </x:c>
      <x:c r="G215" t="str">
        <x:v>ads</x:v>
      </x:c>
      <x:c r="H215" t="str">
        <x:v>Basic</x:v>
      </x:c>
      <x:c r="I215" t="n">
        <x:v>9</x:v>
      </x:c>
      <x:c r="J215" s="1" t="b">
        <x:v>1</x:v>
      </x:c>
      <x:c r="K215" t="str">
        <x:v>Active</x:v>
      </x:c>
      <x:c r="L215" t="n">
        <x:v>583</x:v>
      </x:c>
      <x:c r="M215" t="str"/>
      <x:c r="N215" t="n">
        <x:v>2</x:v>
      </x:c>
      <x:c r="O215" t="n">
        <x:v>13</x:v>
      </x:c>
      <x:c r="P215" s="16" t="n">
        <x:v>12154</x:v>
      </x:c>
      <x:c r="Q215" t="n">
        <x:v>0</x:v>
      </x:c>
      <x:c r="R215" t="n">
        <x:v>0</x:v>
      </x:c>
      <x:c r="S215" t="n">
        <x:v>642</x:v>
      </x:c>
      <x:c r="T215" s="18" t="n">
        <x:v>53.71194444444444</x:v>
      </x:c>
      <x:c r="U215" t="n">
        <x:v>22</x:v>
      </x:c>
      <x:c r="V215" t="n">
        <x:v>32</x:v>
      </x:c>
      <x:c r="W215" t="n">
        <x:v>6</x:v>
      </x:c>
      <x:c r="X215" s="18" t="n">
        <x:v>31.5</x:v>
      </x:c>
      <x:c r="Y215" s="18" t="n">
        <x:v>48.333333333333336</x:v>
      </x:c>
      <x:c r="Z215" s="18" t="n">
        <x:v>4.333333333333333</x:v>
      </x:c>
      <x:c r="AA215" t="n">
        <x:v>0</x:v>
      </x:c>
    </x:row>
    <x:row r="216">
      <x:c r="A216" t="str">
        <x:v>A-249769</x:v>
      </x:c>
      <x:c r="B216" t="str">
        <x:v>Company_214</x:v>
      </x:c>
      <x:c r="C216" t="str">
        <x:v>Cybersecurity</x:v>
      </x:c>
      <x:c r="D216" t="str">
        <x:v>US</x:v>
      </x:c>
      <x:c r="E216" s="14" t="n">
        <x:v>45407</x:v>
      </x:c>
      <x:c r="F216" t="str">
        <x:v>2024-04</x:v>
      </x:c>
      <x:c r="G216" t="str">
        <x:v>event</x:v>
      </x:c>
      <x:c r="H216" t="str">
        <x:v>Enterprise</x:v>
      </x:c>
      <x:c r="I216" t="n">
        <x:v>4</x:v>
      </x:c>
      <x:c r="J216" s="1" t="b">
        <x:v>0</x:v>
      </x:c>
      <x:c r="K216" t="str">
        <x:v>Churned</x:v>
      </x:c>
      <x:c r="L216" t="n">
        <x:v>235</x:v>
      </x:c>
      <x:c r="M216" t="str">
        <x:v>budget</x:v>
      </x:c>
      <x:c r="N216" t="n">
        <x:v>2</x:v>
      </x:c>
      <x:c r="O216" t="n">
        <x:v>13</x:v>
      </x:c>
      <x:c r="P216" s="16" t="n">
        <x:v>15717</x:v>
      </x:c>
      <x:c r="Q216" t="n">
        <x:v>0</x:v>
      </x:c>
      <x:c r="R216" t="n">
        <x:v>0</x:v>
      </x:c>
      <x:c r="S216" t="n">
        <x:v>678</x:v>
      </x:c>
      <x:c r="T216" s="18" t="n">
        <x:v>53.82694444444444</x:v>
      </x:c>
      <x:c r="U216" t="n">
        <x:v>30</x:v>
      </x:c>
      <x:c r="V216" t="n">
        <x:v>31</x:v>
      </x:c>
      <x:c r="W216" t="n">
        <x:v>2</x:v>
      </x:c>
      <x:c r="X216" s="18" t="n">
        <x:v>39.5</x:v>
      </x:c>
      <x:c r="Y216" s="18" t="n">
        <x:v>96.5</x:v>
      </x:c>
      <x:c r="Z216" s="18" t="n">
        <x:v>4</x:v>
      </x:c>
      <x:c r="AA216" t="n">
        <x:v>0</x:v>
      </x:c>
    </x:row>
    <x:row r="217">
      <x:c r="A217" t="str">
        <x:v>A-e43bf7</x:v>
      </x:c>
      <x:c r="B217" t="str">
        <x:v>Company_215</x:v>
      </x:c>
      <x:c r="C217" t="str">
        <x:v>Cybersecurity</x:v>
      </x:c>
      <x:c r="D217" t="str">
        <x:v>AU</x:v>
      </x:c>
      <x:c r="E217" s="14" t="n">
        <x:v>45009</x:v>
      </x:c>
      <x:c r="F217" t="str">
        <x:v>2023-03</x:v>
      </x:c>
      <x:c r="G217" t="str">
        <x:v>other</x:v>
      </x:c>
      <x:c r="H217" t="str">
        <x:v>Pro</x:v>
      </x:c>
      <x:c r="I217" t="n">
        <x:v>44</x:v>
      </x:c>
      <x:c r="J217" s="1" t="b">
        <x:v>0</x:v>
      </x:c>
      <x:c r="K217" t="str">
        <x:v>Active</x:v>
      </x:c>
      <x:c r="L217" t="n">
        <x:v>648</x:v>
      </x:c>
      <x:c r="M217" t="str"/>
      <x:c r="N217" t="n">
        <x:v>1</x:v>
      </x:c>
      <x:c r="O217" t="n">
        <x:v>7</x:v>
      </x:c>
      <x:c r="P217" s="16" t="n">
        <x:v>46666</x:v>
      </x:c>
      <x:c r="Q217" t="n">
        <x:v>3</x:v>
      </x:c>
      <x:c r="R217" t="n">
        <x:v>0</x:v>
      </x:c>
      <x:c r="S217" t="n">
        <x:v>371</x:v>
      </x:c>
      <x:c r="T217" s="18" t="n">
        <x:v>28.7375</x:v>
      </x:c>
      <x:c r="U217" t="n">
        <x:v>35</x:v>
      </x:c>
      <x:c r="V217" t="n">
        <x:v>26</x:v>
      </x:c>
      <x:c r="W217" t="n">
        <x:v>5</x:v>
      </x:c>
      <x:c r="X217" s="18" t="n">
        <x:v>27.4</x:v>
      </x:c>
      <x:c r="Y217" s="18" t="n">
        <x:v>80</x:v>
      </x:c>
      <x:c r="Z217" s="18" t="n">
        <x:v>4</x:v>
      </x:c>
      <x:c r="AA217" t="n">
        <x:v>1</x:v>
      </x:c>
    </x:row>
    <x:row r="218">
      <x:c r="A218" t="str">
        <x:v>A-eb2fdc</x:v>
      </x:c>
      <x:c r="B218" t="str">
        <x:v>Company_216</x:v>
      </x:c>
      <x:c r="C218" t="str">
        <x:v>DevTools</x:v>
      </x:c>
      <x:c r="D218" t="str">
        <x:v>AU</x:v>
      </x:c>
      <x:c r="E218" s="14" t="n">
        <x:v>45251</x:v>
      </x:c>
      <x:c r="F218" t="str">
        <x:v>2023-11</x:v>
      </x:c>
      <x:c r="G218" t="str">
        <x:v>organic</x:v>
      </x:c>
      <x:c r="H218" t="str">
        <x:v>Enterprise</x:v>
      </x:c>
      <x:c r="I218" t="n">
        <x:v>31</x:v>
      </x:c>
      <x:c r="J218" s="1" t="b">
        <x:v>0</x:v>
      </x:c>
      <x:c r="K218" t="str">
        <x:v>Churned</x:v>
      </x:c>
      <x:c r="L218" t="n">
        <x:v>187</x:v>
      </x:c>
      <x:c r="M218" t="str">
        <x:v>competitor</x:v>
      </x:c>
      <x:c r="N218" t="n">
        <x:v>1</x:v>
      </x:c>
      <x:c r="O218" t="n">
        <x:v>12</x:v>
      </x:c>
      <x:c r="P218" s="16" t="n">
        <x:v>30351</x:v>
      </x:c>
      <x:c r="Q218" t="n">
        <x:v>0</x:v>
      </x:c>
      <x:c r="R218" t="n">
        <x:v>0</x:v>
      </x:c>
      <x:c r="S218" t="n">
        <x:v>547</x:v>
      </x:c>
      <x:c r="T218" s="18" t="n">
        <x:v>48.5175</x:v>
      </x:c>
      <x:c r="U218" t="n">
        <x:v>17</x:v>
      </x:c>
      <x:c r="V218" t="n">
        <x:v>29</x:v>
      </x:c>
      <x:c r="W218" t="n">
        <x:v>5</x:v>
      </x:c>
      <x:c r="X218" s="18" t="n">
        <x:v>33.6</x:v>
      </x:c>
      <x:c r="Y218" s="18" t="n">
        <x:v>37.6</x:v>
      </x:c>
      <x:c r="Z218" s="18" t="n">
        <x:v>4.5</x:v>
      </x:c>
      <x:c r="AA218" t="n">
        <x:v>0</x:v>
      </x:c>
    </x:row>
    <x:row r="219">
      <x:c r="A219" t="str">
        <x:v>A-e1462e</x:v>
      </x:c>
      <x:c r="B219" t="str">
        <x:v>Company_217</x:v>
      </x:c>
      <x:c r="C219" t="str">
        <x:v>FinTech</x:v>
      </x:c>
      <x:c r="D219" t="str">
        <x:v>UK</x:v>
      </x:c>
      <x:c r="E219" s="14" t="n">
        <x:v>44997</x:v>
      </x:c>
      <x:c r="F219" t="str">
        <x:v>2023-03</x:v>
      </x:c>
      <x:c r="G219" t="str">
        <x:v>partner</x:v>
      </x:c>
      <x:c r="H219" t="str">
        <x:v>Basic</x:v>
      </x:c>
      <x:c r="I219" t="n">
        <x:v>15</x:v>
      </x:c>
      <x:c r="J219" s="1" t="b">
        <x:v>0</x:v>
      </x:c>
      <x:c r="K219" t="str">
        <x:v>Active</x:v>
      </x:c>
      <x:c r="L219" t="n">
        <x:v>660</x:v>
      </x:c>
      <x:c r="M219" t="str"/>
      <x:c r="N219" t="n">
        <x:v>2</x:v>
      </x:c>
      <x:c r="O219" t="n">
        <x:v>7</x:v>
      </x:c>
      <x:c r="P219" s="16" t="n">
        <x:v>12030</x:v>
      </x:c>
      <x:c r="Q219" t="n">
        <x:v>1</x:v>
      </x:c>
      <x:c r="R219" t="n">
        <x:v>1</x:v>
      </x:c>
      <x:c r="S219" t="n">
        <x:v>347</x:v>
      </x:c>
      <x:c r="T219" s="18" t="n">
        <x:v>27.249166666666667</x:v>
      </x:c>
      <x:c r="U219" t="n">
        <x:v>22</x:v>
      </x:c>
      <x:c r="V219" t="n">
        <x:v>26</x:v>
      </x:c>
      <x:c r="W219" t="n">
        <x:v>2</x:v>
      </x:c>
      <x:c r="X219" s="18" t="n">
        <x:v>39.5</x:v>
      </x:c>
      <x:c r="Y219" s="18" t="n">
        <x:v>118.5</x:v>
      </x:c>
      <x:c r="Z219" s="18" t="n">
        <x:v>3.5</x:v>
      </x:c>
      <x:c r="AA219" t="n">
        <x:v>0</x:v>
      </x:c>
    </x:row>
    <x:row r="220">
      <x:c r="A220" t="str">
        <x:v>A-cab532</x:v>
      </x:c>
      <x:c r="B220" t="str">
        <x:v>Company_218</x:v>
      </x:c>
      <x:c r="C220" t="str">
        <x:v>DevTools</x:v>
      </x:c>
      <x:c r="D220" t="str">
        <x:v>FR</x:v>
      </x:c>
      <x:c r="E220" s="14" t="n">
        <x:v>45019</x:v>
      </x:c>
      <x:c r="F220" t="str">
        <x:v>2023-04</x:v>
      </x:c>
      <x:c r="G220" t="str">
        <x:v>organic</x:v>
      </x:c>
      <x:c r="H220" t="str">
        <x:v>Pro</x:v>
      </x:c>
      <x:c r="I220" t="n">
        <x:v>11</x:v>
      </x:c>
      <x:c r="J220" s="1" t="b">
        <x:v>1</x:v>
      </x:c>
      <x:c r="K220" t="str">
        <x:v>Active</x:v>
      </x:c>
      <x:c r="L220" t="n">
        <x:v>638</x:v>
      </x:c>
      <x:c r="M220" t="str"/>
      <x:c r="N220" t="n">
        <x:v>1</x:v>
      </x:c>
      <x:c r="O220" t="n">
        <x:v>15</x:v>
      </x:c>
      <x:c r="P220" s="16" t="n">
        <x:v>18569</x:v>
      </x:c>
      <x:c r="Q220" t="n">
        <x:v>2</x:v>
      </x:c>
      <x:c r="R220" t="n">
        <x:v>1</x:v>
      </x:c>
      <x:c r="S220" t="n">
        <x:v>1005</x:v>
      </x:c>
      <x:c r="T220" s="18" t="n">
        <x:v>76.01083333333334</x:v>
      </x:c>
      <x:c r="U220" t="n">
        <x:v>47</x:v>
      </x:c>
      <x:c r="V220" t="n">
        <x:v>38</x:v>
      </x:c>
      <x:c r="W220" t="n">
        <x:v>1</x:v>
      </x:c>
      <x:c r="X220" s="18" t="n">
        <x:v>32</x:v>
      </x:c>
      <x:c r="Y220" s="18" t="n">
        <x:v>175</x:v>
      </x:c>
      <x:c r="Z220" s="18" t="n">
        <x:v>4</x:v>
      </x:c>
      <x:c r="AA220" t="n">
        <x:v>0</x:v>
      </x:c>
    </x:row>
    <x:row r="221">
      <x:c r="A221" t="str">
        <x:v>A-9123ac</x:v>
      </x:c>
      <x:c r="B221" t="str">
        <x:v>Company_219</x:v>
      </x:c>
      <x:c r="C221" t="str">
        <x:v>Cybersecurity</x:v>
      </x:c>
      <x:c r="D221" t="str">
        <x:v>DE</x:v>
      </x:c>
      <x:c r="E221" s="14" t="n">
        <x:v>45097</x:v>
      </x:c>
      <x:c r="F221" t="str">
        <x:v>2023-06</x:v>
      </x:c>
      <x:c r="G221" t="str">
        <x:v>organic</x:v>
      </x:c>
      <x:c r="H221" t="str">
        <x:v>Pro</x:v>
      </x:c>
      <x:c r="I221" t="n">
        <x:v>9</x:v>
      </x:c>
      <x:c r="J221" s="1" t="b">
        <x:v>0</x:v>
      </x:c>
      <x:c r="K221" t="str">
        <x:v>Active</x:v>
      </x:c>
      <x:c r="L221" t="n">
        <x:v>560</x:v>
      </x:c>
      <x:c r="M221" t="str"/>
      <x:c r="N221" t="n">
        <x:v>2</x:v>
      </x:c>
      <x:c r="O221" t="n">
        <x:v>7</x:v>
      </x:c>
      <x:c r="P221" s="16" t="n">
        <x:v>14751</x:v>
      </x:c>
      <x:c r="Q221" t="n">
        <x:v>0</x:v>
      </x:c>
      <x:c r="R221" t="n">
        <x:v>1</x:v>
      </x:c>
      <x:c r="S221" t="n">
        <x:v>386</x:v>
      </x:c>
      <x:c r="T221" s="18" t="n">
        <x:v>33.33722222222222</x:v>
      </x:c>
      <x:c r="U221" t="n">
        <x:v>24</x:v>
      </x:c>
      <x:c r="V221" t="n">
        <x:v>28</x:v>
      </x:c>
      <x:c r="W221" t="n">
        <x:v>6</x:v>
      </x:c>
      <x:c r="X221" s="18" t="n">
        <x:v>38.833333333333336</x:v>
      </x:c>
      <x:c r="Y221" s="18" t="n">
        <x:v>91.66666666666667</x:v>
      </x:c>
      <x:c r="Z221" s="18" t="n">
        <x:v>4.2</x:v>
      </x:c>
      <x:c r="AA221" t="n">
        <x:v>0</x:v>
      </x:c>
    </x:row>
    <x:row r="222">
      <x:c r="A222" t="str">
        <x:v>A-6e08f3</x:v>
      </x:c>
      <x:c r="B222" t="str">
        <x:v>Company_220</x:v>
      </x:c>
      <x:c r="C222" t="str">
        <x:v>Cybersecurity</x:v>
      </x:c>
      <x:c r="D222" t="str">
        <x:v>US</x:v>
      </x:c>
      <x:c r="E222" s="14" t="n">
        <x:v>44984</x:v>
      </x:c>
      <x:c r="F222" t="str">
        <x:v>2023-02</x:v>
      </x:c>
      <x:c r="G222" t="str">
        <x:v>event</x:v>
      </x:c>
      <x:c r="H222" t="str">
        <x:v>Basic</x:v>
      </x:c>
      <x:c r="I222" t="n">
        <x:v>8</x:v>
      </x:c>
      <x:c r="J222" s="1" t="b">
        <x:v>0</x:v>
      </x:c>
      <x:c r="K222" t="str">
        <x:v>Active</x:v>
      </x:c>
      <x:c r="L222" t="n">
        <x:v>673</x:v>
      </x:c>
      <x:c r="M222" t="str"/>
      <x:c r="N222" t="n">
        <x:v>1</x:v>
      </x:c>
      <x:c r="O222" t="n">
        <x:v>10</x:v>
      </x:c>
      <x:c r="P222" s="16" t="n">
        <x:v>18190</x:v>
      </x:c>
      <x:c r="Q222" t="n">
        <x:v>1</x:v>
      </x:c>
      <x:c r="R222" t="n">
        <x:v>1</x:v>
      </x:c>
      <x:c r="S222" t="n">
        <x:v>492</x:v>
      </x:c>
      <x:c r="T222" s="18" t="n">
        <x:v>41.410555555555554</x:v>
      </x:c>
      <x:c r="U222" t="n">
        <x:v>21</x:v>
      </x:c>
      <x:c r="V222" t="n">
        <x:v>28</x:v>
      </x:c>
      <x:c r="W222" t="n">
        <x:v>2</x:v>
      </x:c>
      <x:c r="X222" s="18" t="n">
        <x:v>36.5</x:v>
      </x:c>
      <x:c r="Y222" s="18" t="n">
        <x:v>137</x:v>
      </x:c>
      <x:c r="Z222" s="18" t="n">
        <x:v>3.5</x:v>
      </x:c>
      <x:c r="AA222" t="n">
        <x:v>0</x:v>
      </x:c>
    </x:row>
    <x:row r="223">
      <x:c r="A223" t="str">
        <x:v>A-d922bf</x:v>
      </x:c>
      <x:c r="B223" t="str">
        <x:v>Company_221</x:v>
      </x:c>
      <x:c r="C223" t="str">
        <x:v>HealthTech</x:v>
      </x:c>
      <x:c r="D223" t="str">
        <x:v>US</x:v>
      </x:c>
      <x:c r="E223" s="14" t="n">
        <x:v>45177</x:v>
      </x:c>
      <x:c r="F223" t="str">
        <x:v>2023-09</x:v>
      </x:c>
      <x:c r="G223" t="str">
        <x:v>ads</x:v>
      </x:c>
      <x:c r="H223" t="str">
        <x:v>Basic</x:v>
      </x:c>
      <x:c r="I223" t="n">
        <x:v>5</x:v>
      </x:c>
      <x:c r="J223" s="1" t="b">
        <x:v>1</x:v>
      </x:c>
      <x:c r="K223" t="str">
        <x:v>Churned</x:v>
      </x:c>
      <x:c r="L223" t="n">
        <x:v>455</x:v>
      </x:c>
      <x:c r="M223" t="str">
        <x:v>support</x:v>
      </x:c>
      <x:c r="N223" t="n">
        <x:v>1</x:v>
      </x:c>
      <x:c r="O223" t="n">
        <x:v>7</x:v>
      </x:c>
      <x:c r="P223" s="16" t="n">
        <x:v>14129</x:v>
      </x:c>
      <x:c r="Q223" t="n">
        <x:v>0</x:v>
      </x:c>
      <x:c r="R223" t="n">
        <x:v>0</x:v>
      </x:c>
      <x:c r="S223" t="n">
        <x:v>419</x:v>
      </x:c>
      <x:c r="T223" s="18" t="n">
        <x:v>37.25527777777778</x:v>
      </x:c>
      <x:c r="U223" t="n">
        <x:v>19</x:v>
      </x:c>
      <x:c r="V223" t="n">
        <x:v>24</x:v>
      </x:c>
      <x:c r="W223" t="n">
        <x:v>7</x:v>
      </x:c>
      <x:c r="X223" s="18" t="n">
        <x:v>39.142857142857146</x:v>
      </x:c>
      <x:c r="Y223" s="18" t="n">
        <x:v>101.14285714285714</x:v>
      </x:c>
      <x:c r="Z223" s="18" t="n">
        <x:v>3.3333333333333335</x:v>
      </x:c>
      <x:c r="AA223" t="n">
        <x:v>1</x:v>
      </x:c>
    </x:row>
    <x:row r="224">
      <x:c r="A224" t="str">
        <x:v>A-8ed5dd</x:v>
      </x:c>
      <x:c r="B224" t="str">
        <x:v>Company_222</x:v>
      </x:c>
      <x:c r="C224" t="str">
        <x:v>EdTech</x:v>
      </x:c>
      <x:c r="D224" t="str">
        <x:v>UK</x:v>
      </x:c>
      <x:c r="E224" s="14" t="n">
        <x:v>45106</x:v>
      </x:c>
      <x:c r="F224" t="str">
        <x:v>2023-06</x:v>
      </x:c>
      <x:c r="G224" t="str">
        <x:v>event</x:v>
      </x:c>
      <x:c r="H224" t="str">
        <x:v>Enterprise</x:v>
      </x:c>
      <x:c r="I224" t="n">
        <x:v>5</x:v>
      </x:c>
      <x:c r="J224" s="1" t="b">
        <x:v>0</x:v>
      </x:c>
      <x:c r="K224" t="str">
        <x:v>Churned</x:v>
      </x:c>
      <x:c r="L224" t="n">
        <x:v>492</x:v>
      </x:c>
      <x:c r="M224" t="str">
        <x:v>unknown</x:v>
      </x:c>
      <x:c r="N224" t="n">
        <x:v>2</x:v>
      </x:c>
      <x:c r="O224" t="n">
        <x:v>12</x:v>
      </x:c>
      <x:c r="P224" s="16" t="n">
        <x:v>11861</x:v>
      </x:c>
      <x:c r="Q224" t="n">
        <x:v>3</x:v>
      </x:c>
      <x:c r="R224" t="n">
        <x:v>1</x:v>
      </x:c>
      <x:c r="S224" t="n">
        <x:v>545</x:v>
      </x:c>
      <x:c r="T224" s="18" t="n">
        <x:v>48.115833333333335</x:v>
      </x:c>
      <x:c r="U224" t="n">
        <x:v>45</x:v>
      </x:c>
      <x:c r="V224" t="n">
        <x:v>29</x:v>
      </x:c>
      <x:c r="W224" t="n">
        <x:v>6</x:v>
      </x:c>
      <x:c r="X224" s="18" t="n">
        <x:v>29</x:v>
      </x:c>
      <x:c r="Y224" s="18" t="n">
        <x:v>96.83333333333333</x:v>
      </x:c>
      <x:c r="Z224" s="18" t="n">
        <x:v>3.75</x:v>
      </x:c>
      <x:c r="AA224" t="n">
        <x:v>0</x:v>
      </x:c>
    </x:row>
    <x:row r="225">
      <x:c r="A225" t="str">
        <x:v>A-7c6b6b</x:v>
      </x:c>
      <x:c r="B225" t="str">
        <x:v>Company_223</x:v>
      </x:c>
      <x:c r="C225" t="str">
        <x:v>FinTech</x:v>
      </x:c>
      <x:c r="D225" t="str">
        <x:v>US</x:v>
      </x:c>
      <x:c r="E225" s="14" t="n">
        <x:v>45626</x:v>
      </x:c>
      <x:c r="F225" t="str">
        <x:v>2024-11</x:v>
      </x:c>
      <x:c r="G225" t="str">
        <x:v>other</x:v>
      </x:c>
      <x:c r="H225" t="str">
        <x:v>Basic</x:v>
      </x:c>
      <x:c r="I225" t="n">
        <x:v>6</x:v>
      </x:c>
      <x:c r="J225" s="1" t="b">
        <x:v>0</x:v>
      </x:c>
      <x:c r="K225" t="str">
        <x:v>Active</x:v>
      </x:c>
      <x:c r="L225" t="n">
        <x:v>31</x:v>
      </x:c>
      <x:c r="M225" t="str"/>
      <x:c r="N225" t="n">
        <x:v>1</x:v>
      </x:c>
      <x:c r="O225" t="n">
        <x:v>7</x:v>
      </x:c>
      <x:c r="P225" s="16" t="n">
        <x:v>3250</x:v>
      </x:c>
      <x:c r="Q225" t="n">
        <x:v>0</x:v>
      </x:c>
      <x:c r="R225" t="n">
        <x:v>0</x:v>
      </x:c>
      <x:c r="S225" t="n">
        <x:v>311</x:v>
      </x:c>
      <x:c r="T225" s="18" t="n">
        <x:v>22.90861111111111</x:v>
      </x:c>
      <x:c r="U225" t="n">
        <x:v>24</x:v>
      </x:c>
      <x:c r="V225" t="n">
        <x:v>22</x:v>
      </x:c>
      <x:c r="W225" t="n">
        <x:v>5</x:v>
      </x:c>
      <x:c r="X225" s="18" t="n">
        <x:v>52.2</x:v>
      </x:c>
      <x:c r="Y225" s="18" t="n">
        <x:v>82.4</x:v>
      </x:c>
      <x:c r="Z225" s="18" t="n">
        <x:v>4.333333333333333</x:v>
      </x:c>
      <x:c r="AA225" t="n">
        <x:v>0</x:v>
      </x:c>
    </x:row>
    <x:row r="226">
      <x:c r="A226" t="str">
        <x:v>A-3c1a3f</x:v>
      </x:c>
      <x:c r="B226" t="str">
        <x:v>Company_224</x:v>
      </x:c>
      <x:c r="C226" t="str">
        <x:v>DevTools</x:v>
      </x:c>
      <x:c r="D226" t="str">
        <x:v>UK</x:v>
      </x:c>
      <x:c r="E226" s="14" t="n">
        <x:v>45164</x:v>
      </x:c>
      <x:c r="F226" t="str">
        <x:v>2023-08</x:v>
      </x:c>
      <x:c r="G226" t="str">
        <x:v>event</x:v>
      </x:c>
      <x:c r="H226" t="str">
        <x:v>Pro</x:v>
      </x:c>
      <x:c r="I226" t="n">
        <x:v>1</x:v>
      </x:c>
      <x:c r="J226" s="1" t="b">
        <x:v>0</x:v>
      </x:c>
      <x:c r="K226" t="str">
        <x:v>Active</x:v>
      </x:c>
      <x:c r="L226" t="n">
        <x:v>493</x:v>
      </x:c>
      <x:c r="M226" t="str"/>
      <x:c r="N226" t="n">
        <x:v>0</x:v>
      </x:c>
      <x:c r="O226" t="n">
        <x:v>12</x:v>
      </x:c>
      <x:c r="P226" s="16" t="n">
        <x:v>11192</x:v>
      </x:c>
      <x:c r="Q226" t="n">
        <x:v>0</x:v>
      </x:c>
      <x:c r="R226" t="n">
        <x:v>1</x:v>
      </x:c>
      <x:c r="S226" t="n">
        <x:v>497</x:v>
      </x:c>
      <x:c r="T226" s="18" t="n">
        <x:v>47.8725</x:v>
      </x:c>
      <x:c r="U226" t="n">
        <x:v>22</x:v>
      </x:c>
      <x:c r="V226" t="n">
        <x:v>31</x:v>
      </x:c>
      <x:c r="W226" t="n">
        <x:v>4</x:v>
      </x:c>
      <x:c r="X226" s="18" t="n">
        <x:v>33.25</x:v>
      </x:c>
      <x:c r="Y226" s="18" t="n">
        <x:v>56.5</x:v>
      </x:c>
      <x:c r="Z226" s="18" t="n">
        <x:v>3.5</x:v>
      </x:c>
      <x:c r="AA226" t="n">
        <x:v>0</x:v>
      </x:c>
    </x:row>
    <x:row r="227">
      <x:c r="A227" t="str">
        <x:v>A-b48f73</x:v>
      </x:c>
      <x:c r="B227" t="str">
        <x:v>Company_225</x:v>
      </x:c>
      <x:c r="C227" t="str">
        <x:v>EdTech</x:v>
      </x:c>
      <x:c r="D227" t="str">
        <x:v>AU</x:v>
      </x:c>
      <x:c r="E227" s="14" t="n">
        <x:v>45609</x:v>
      </x:c>
      <x:c r="F227" t="str">
        <x:v>2024-11</x:v>
      </x:c>
      <x:c r="G227" t="str">
        <x:v>event</x:v>
      </x:c>
      <x:c r="H227" t="str">
        <x:v>Pro</x:v>
      </x:c>
      <x:c r="I227" t="n">
        <x:v>80</x:v>
      </x:c>
      <x:c r="J227" s="1" t="b">
        <x:v>1</x:v>
      </x:c>
      <x:c r="K227" t="str">
        <x:v>Active</x:v>
      </x:c>
      <x:c r="L227" t="n">
        <x:v>48</x:v>
      </x:c>
      <x:c r="M227" t="str"/>
      <x:c r="N227" t="n">
        <x:v>0</x:v>
      </x:c>
      <x:c r="O227" t="n">
        <x:v>7</x:v>
      </x:c>
      <x:c r="P227" s="16" t="n">
        <x:v>28320</x:v>
      </x:c>
      <x:c r="Q227" t="n">
        <x:v>0</x:v>
      </x:c>
      <x:c r="R227" t="n">
        <x:v>0</x:v>
      </x:c>
      <x:c r="S227" t="n">
        <x:v>412</x:v>
      </x:c>
      <x:c r="T227" s="18" t="n">
        <x:v>32.89333333333333</x:v>
      </x:c>
      <x:c r="U227" t="n">
        <x:v>23</x:v>
      </x:c>
      <x:c r="V227" t="n">
        <x:v>24</x:v>
      </x:c>
      <x:c r="W227" t="n">
        <x:v>3</x:v>
      </x:c>
      <x:c r="X227" s="18" t="n">
        <x:v>28.666666666666668</x:v>
      </x:c>
      <x:c r="Y227" s="18" t="n">
        <x:v>35.333333333333336</x:v>
      </x:c>
      <x:c r="Z227" s="18" t="n">
        <x:v>4</x:v>
      </x:c>
      <x:c r="AA227" t="n">
        <x:v>0</x:v>
      </x:c>
    </x:row>
    <x:row r="228">
      <x:c r="A228" t="str">
        <x:v>A-76fa4d</x:v>
      </x:c>
      <x:c r="B228" t="str">
        <x:v>Company_226</x:v>
      </x:c>
      <x:c r="C228" t="str">
        <x:v>HealthTech</x:v>
      </x:c>
      <x:c r="D228" t="str">
        <x:v>US</x:v>
      </x:c>
      <x:c r="E228" s="14" t="n">
        <x:v>45620</x:v>
      </x:c>
      <x:c r="F228" t="str">
        <x:v>2024-11</x:v>
      </x:c>
      <x:c r="G228" t="str">
        <x:v>event</x:v>
      </x:c>
      <x:c r="H228" t="str">
        <x:v>Pro</x:v>
      </x:c>
      <x:c r="I228" t="n">
        <x:v>69</x:v>
      </x:c>
      <x:c r="J228" s="1" t="b">
        <x:v>0</x:v>
      </x:c>
      <x:c r="K228" t="str">
        <x:v>Active</x:v>
      </x:c>
      <x:c r="L228" t="n">
        <x:v>37</x:v>
      </x:c>
      <x:c r="M228" t="str"/>
      <x:c r="N228" t="n">
        <x:v>2</x:v>
      </x:c>
      <x:c r="O228" t="n">
        <x:v>7</x:v>
      </x:c>
      <x:c r="P228" s="16" t="n">
        <x:v>47955</x:v>
      </x:c>
      <x:c r="Q228" t="n">
        <x:v>0</x:v>
      </x:c>
      <x:c r="R228" t="n">
        <x:v>0</x:v>
      </x:c>
      <x:c r="S228" t="n">
        <x:v>357</x:v>
      </x:c>
      <x:c r="T228" s="18" t="n">
        <x:v>35.069722222222225</x:v>
      </x:c>
      <x:c r="U228" t="n">
        <x:v>21</x:v>
      </x:c>
      <x:c r="V228" t="n">
        <x:v>21</x:v>
      </x:c>
      <x:c r="W228" t="n">
        <x:v>5</x:v>
      </x:c>
      <x:c r="X228" s="18" t="n">
        <x:v>33.4</x:v>
      </x:c>
      <x:c r="Y228" s="18" t="n">
        <x:v>111.8</x:v>
      </x:c>
      <x:c r="Z228" s="18" t="n">
        <x:v>4.5</x:v>
      </x:c>
      <x:c r="AA228" t="n">
        <x:v>0</x:v>
      </x:c>
    </x:row>
    <x:row r="229">
      <x:c r="A229" t="str">
        <x:v>A-b2af2e</x:v>
      </x:c>
      <x:c r="B229" t="str">
        <x:v>Company_227</x:v>
      </x:c>
      <x:c r="C229" t="str">
        <x:v>Cybersecurity</x:v>
      </x:c>
      <x:c r="D229" t="str">
        <x:v>UK</x:v>
      </x:c>
      <x:c r="E229" s="14" t="n">
        <x:v>45528</x:v>
      </x:c>
      <x:c r="F229" t="str">
        <x:v>2024-08</x:v>
      </x:c>
      <x:c r="G229" t="str">
        <x:v>event</x:v>
      </x:c>
      <x:c r="H229" t="str">
        <x:v>Enterprise</x:v>
      </x:c>
      <x:c r="I229" t="n">
        <x:v>5</x:v>
      </x:c>
      <x:c r="J229" s="1" t="b">
        <x:v>0</x:v>
      </x:c>
      <x:c r="K229" t="str">
        <x:v>Active</x:v>
      </x:c>
      <x:c r="L229" t="n">
        <x:v>129</x:v>
      </x:c>
      <x:c r="M229" t="str"/>
      <x:c r="N229" t="n">
        <x:v>1</x:v>
      </x:c>
      <x:c r="O229" t="n">
        <x:v>4</x:v>
      </x:c>
      <x:c r="P229" s="16" t="n">
        <x:v>3112</x:v>
      </x:c>
      <x:c r="Q229" t="n">
        <x:v>0</x:v>
      </x:c>
      <x:c r="R229" t="n">
        <x:v>1</x:v>
      </x:c>
      <x:c r="S229" t="n">
        <x:v>174</x:v>
      </x:c>
      <x:c r="T229" s="18" t="n">
        <x:v>16.726111111111113</x:v>
      </x:c>
      <x:c r="U229" t="n">
        <x:v>11</x:v>
      </x:c>
      <x:c r="V229" t="n">
        <x:v>14</x:v>
      </x:c>
      <x:c r="W229" t="n">
        <x:v>2</x:v>
      </x:c>
      <x:c r="X229" s="18" t="n">
        <x:v>39.5</x:v>
      </x:c>
      <x:c r="Y229" s="18" t="n">
        <x:v>95</x:v>
      </x:c>
      <x:c r="Z229" s="18" t="n">
        <x:v>4</x:v>
      </x:c>
      <x:c r="AA229" t="n">
        <x:v>0</x:v>
      </x:c>
    </x:row>
    <x:row r="230">
      <x:c r="A230" t="str">
        <x:v>A-9bfc9f</x:v>
      </x:c>
      <x:c r="B230" t="str">
        <x:v>Company_228</x:v>
      </x:c>
      <x:c r="C230" t="str">
        <x:v>DevTools</x:v>
      </x:c>
      <x:c r="D230" t="str">
        <x:v>CA</x:v>
      </x:c>
      <x:c r="E230" s="14" t="n">
        <x:v>45183</x:v>
      </x:c>
      <x:c r="F230" t="str">
        <x:v>2023-09</x:v>
      </x:c>
      <x:c r="G230" t="str">
        <x:v>ads</x:v>
      </x:c>
      <x:c r="H230" t="str">
        <x:v>Pro</x:v>
      </x:c>
      <x:c r="I230" t="n">
        <x:v>53</x:v>
      </x:c>
      <x:c r="J230" s="1" t="b">
        <x:v>0</x:v>
      </x:c>
      <x:c r="K230" t="str">
        <x:v>Active</x:v>
      </x:c>
      <x:c r="L230" t="n">
        <x:v>474</x:v>
      </x:c>
      <x:c r="M230" t="str"/>
      <x:c r="N230" t="n">
        <x:v>0</x:v>
      </x:c>
      <x:c r="O230" t="n">
        <x:v>9</x:v>
      </x:c>
      <x:c r="P230" s="16" t="n">
        <x:v>12745</x:v>
      </x:c>
      <x:c r="Q230" t="n">
        <x:v>3</x:v>
      </x:c>
      <x:c r="R230" t="n">
        <x:v>2</x:v>
      </x:c>
      <x:c r="S230" t="n">
        <x:v>376</x:v>
      </x:c>
      <x:c r="T230" s="18" t="n">
        <x:v>30.517222222222223</x:v>
      </x:c>
      <x:c r="U230" t="n">
        <x:v>18</x:v>
      </x:c>
      <x:c r="V230" t="n">
        <x:v>23</x:v>
      </x:c>
      <x:c r="W230" t="n">
        <x:v>6</x:v>
      </x:c>
      <x:c r="X230" s="18" t="n">
        <x:v>35.333333333333336</x:v>
      </x:c>
      <x:c r="Y230" s="18" t="n">
        <x:v>84.33333333333333</x:v>
      </x:c>
      <x:c r="Z230" s="18" t="n">
        <x:v>3.3333333333333335</x:v>
      </x:c>
      <x:c r="AA230" t="n">
        <x:v>1</x:v>
      </x:c>
    </x:row>
    <x:row r="231">
      <x:c r="A231" t="str">
        <x:v>A-4ae22a</x:v>
      </x:c>
      <x:c r="B231" t="str">
        <x:v>Company_229</x:v>
      </x:c>
      <x:c r="C231" t="str">
        <x:v>EdTech</x:v>
      </x:c>
      <x:c r="D231" t="str">
        <x:v>US</x:v>
      </x:c>
      <x:c r="E231" s="14" t="n">
        <x:v>45421</x:v>
      </x:c>
      <x:c r="F231" t="str">
        <x:v>2024-05</x:v>
      </x:c>
      <x:c r="G231" t="str">
        <x:v>other</x:v>
      </x:c>
      <x:c r="H231" t="str">
        <x:v>Pro</x:v>
      </x:c>
      <x:c r="I231" t="n">
        <x:v>6</x:v>
      </x:c>
      <x:c r="J231" s="1" t="b">
        <x:v>0</x:v>
      </x:c>
      <x:c r="K231" t="str">
        <x:v>Churned</x:v>
      </x:c>
      <x:c r="L231" t="n">
        <x:v>72</x:v>
      </x:c>
      <x:c r="M231" t="str">
        <x:v>pricing</x:v>
      </x:c>
      <x:c r="N231" t="n">
        <x:v>1</x:v>
      </x:c>
      <x:c r="O231" t="n">
        <x:v>7</x:v>
      </x:c>
      <x:c r="P231" s="16" t="n">
        <x:v>3860</x:v>
      </x:c>
      <x:c r="Q231" t="n">
        <x:v>0</x:v>
      </x:c>
      <x:c r="R231" t="n">
        <x:v>0</x:v>
      </x:c>
      <x:c r="S231" t="n">
        <x:v>369</x:v>
      </x:c>
      <x:c r="T231" s="18" t="n">
        <x:v>39.551944444444445</x:v>
      </x:c>
      <x:c r="U231" t="n">
        <x:v>31</x:v>
      </x:c>
      <x:c r="V231" t="n">
        <x:v>24</x:v>
      </x:c>
      <x:c r="W231" t="n">
        <x:v>3</x:v>
      </x:c>
      <x:c r="X231" s="18" t="n">
        <x:v>14.333333333333334</x:v>
      </x:c>
      <x:c r="Y231" s="18" t="n">
        <x:v>72.66666666666667</x:v>
      </x:c>
      <x:c r="Z231" s="18" t="n">
        <x:v>3</x:v>
      </x:c>
      <x:c r="AA231" t="n">
        <x:v>0</x:v>
      </x:c>
    </x:row>
    <x:row r="232">
      <x:c r="A232" t="str">
        <x:v>A-fda07f</x:v>
      </x:c>
      <x:c r="B232" t="str">
        <x:v>Company_230</x:v>
      </x:c>
      <x:c r="C232" t="str">
        <x:v>Cybersecurity</x:v>
      </x:c>
      <x:c r="D232" t="str">
        <x:v>FR</x:v>
      </x:c>
      <x:c r="E232" s="14" t="n">
        <x:v>45515</x:v>
      </x:c>
      <x:c r="F232" t="str">
        <x:v>2024-08</x:v>
      </x:c>
      <x:c r="G232" t="str">
        <x:v>partner</x:v>
      </x:c>
      <x:c r="H232" t="str">
        <x:v>Basic</x:v>
      </x:c>
      <x:c r="I232" t="n">
        <x:v>7</x:v>
      </x:c>
      <x:c r="J232" s="1" t="b">
        <x:v>0</x:v>
      </x:c>
      <x:c r="K232" t="str">
        <x:v>Active</x:v>
      </x:c>
      <x:c r="L232" t="n">
        <x:v>142</x:v>
      </x:c>
      <x:c r="M232" t="str"/>
      <x:c r="N232" t="n">
        <x:v>1</x:v>
      </x:c>
      <x:c r="O232" t="n">
        <x:v>12</x:v>
      </x:c>
      <x:c r="P232" s="16" t="n">
        <x:v>28418</x:v>
      </x:c>
      <x:c r="Q232" t="n">
        <x:v>4</x:v>
      </x:c>
      <x:c r="R232" t="n">
        <x:v>1</x:v>
      </x:c>
      <x:c r="S232" t="n">
        <x:v>681</x:v>
      </x:c>
      <x:c r="T232" s="18" t="n">
        <x:v>64.27111111111111</x:v>
      </x:c>
      <x:c r="U232" t="n">
        <x:v>39</x:v>
      </x:c>
      <x:c r="V232" t="n">
        <x:v>31</x:v>
      </x:c>
      <x:c r="W232" t="n">
        <x:v>5</x:v>
      </x:c>
      <x:c r="X232" s="18" t="n">
        <x:v>17.8</x:v>
      </x:c>
      <x:c r="Y232" s="18" t="n">
        <x:v>57</x:v>
      </x:c>
      <x:c r="Z232" s="18" t="n">
        <x:v>4</x:v>
      </x:c>
      <x:c r="AA232" t="n">
        <x:v>0</x:v>
      </x:c>
    </x:row>
    <x:row r="233">
      <x:c r="A233" t="str">
        <x:v>A-de24d5</x:v>
      </x:c>
      <x:c r="B233" t="str">
        <x:v>Company_231</x:v>
      </x:c>
      <x:c r="C233" t="str">
        <x:v>DevTools</x:v>
      </x:c>
      <x:c r="D233" t="str">
        <x:v>US</x:v>
      </x:c>
      <x:c r="E233" s="14" t="n">
        <x:v>45601</x:v>
      </x:c>
      <x:c r="F233" t="str">
        <x:v>2024-11</x:v>
      </x:c>
      <x:c r="G233" t="str">
        <x:v>other</x:v>
      </x:c>
      <x:c r="H233" t="str">
        <x:v>Enterprise</x:v>
      </x:c>
      <x:c r="I233" t="n">
        <x:v>5</x:v>
      </x:c>
      <x:c r="J233" s="1" t="b">
        <x:v>1</x:v>
      </x:c>
      <x:c r="K233" t="str">
        <x:v>Active</x:v>
      </x:c>
      <x:c r="L233" t="n">
        <x:v>56</x:v>
      </x:c>
      <x:c r="M233" t="str"/>
      <x:c r="N233" t="n">
        <x:v>0</x:v>
      </x:c>
      <x:c r="O233" t="n">
        <x:v>13</x:v>
      </x:c>
      <x:c r="P233" s="16" t="n">
        <x:v>17554</x:v>
      </x:c>
      <x:c r="Q233" t="n">
        <x:v>0</x:v>
      </x:c>
      <x:c r="R233" t="n">
        <x:v>0</x:v>
      </x:c>
      <x:c r="S233" t="n">
        <x:v>537</x:v>
      </x:c>
      <x:c r="T233" s="18" t="n">
        <x:v>38.96277777777778</x:v>
      </x:c>
      <x:c r="U233" t="n">
        <x:v>28</x:v>
      </x:c>
      <x:c r="V233" t="n">
        <x:v>29</x:v>
      </x:c>
      <x:c r="W233" t="n">
        <x:v>7</x:v>
      </x:c>
      <x:c r="X233" s="18" t="n">
        <x:v>43.142857142857146</x:v>
      </x:c>
      <x:c r="Y233" s="18" t="n">
        <x:v>103.42857142857143</x:v>
      </x:c>
      <x:c r="Z233" s="18" t="n">
        <x:v>3</x:v>
      </x:c>
      <x:c r="AA233" t="n">
        <x:v>0</x:v>
      </x:c>
    </x:row>
    <x:row r="234">
      <x:c r="A234" t="str">
        <x:v>A-977ca0</x:v>
      </x:c>
      <x:c r="B234" t="str">
        <x:v>Company_232</x:v>
      </x:c>
      <x:c r="C234" t="str">
        <x:v>HealthTech</x:v>
      </x:c>
      <x:c r="D234" t="str">
        <x:v>IN</x:v>
      </x:c>
      <x:c r="E234" s="14" t="n">
        <x:v>44977</x:v>
      </x:c>
      <x:c r="F234" t="str">
        <x:v>2023-02</x:v>
      </x:c>
      <x:c r="G234" t="str">
        <x:v>partner</x:v>
      </x:c>
      <x:c r="H234" t="str">
        <x:v>Basic</x:v>
      </x:c>
      <x:c r="I234" t="n">
        <x:v>6</x:v>
      </x:c>
      <x:c r="J234" s="1" t="b">
        <x:v>0</x:v>
      </x:c>
      <x:c r="K234" t="str">
        <x:v>Churned</x:v>
      </x:c>
      <x:c r="L234" t="n">
        <x:v>680</x:v>
      </x:c>
      <x:c r="M234" t="str"/>
      <x:c r="N234" t="n">
        <x:v>0</x:v>
      </x:c>
      <x:c r="O234" t="n">
        <x:v>16</x:v>
      </x:c>
      <x:c r="P234" s="16" t="n">
        <x:v>29255</x:v>
      </x:c>
      <x:c r="Q234" t="n">
        <x:v>1</x:v>
      </x:c>
      <x:c r="R234" t="n">
        <x:v>0</x:v>
      </x:c>
      <x:c r="S234" t="n">
        <x:v>893</x:v>
      </x:c>
      <x:c r="T234" s="18" t="n">
        <x:v>67.46111111111111</x:v>
      </x:c>
      <x:c r="U234" t="n">
        <x:v>46</x:v>
      </x:c>
      <x:c r="V234" t="n">
        <x:v>38</x:v>
      </x:c>
      <x:c r="W234" t="n">
        <x:v>3</x:v>
      </x:c>
      <x:c r="X234" s="18" t="n">
        <x:v>64</x:v>
      </x:c>
      <x:c r="Y234" s="18" t="n">
        <x:v>123</x:v>
      </x:c>
      <x:c r="Z234" s="18" t="n">
        <x:v>4</x:v>
      </x:c>
      <x:c r="AA234" t="n">
        <x:v>0</x:v>
      </x:c>
    </x:row>
    <x:row r="235">
      <x:c r="A235" t="str">
        <x:v>A-ab438f</x:v>
      </x:c>
      <x:c r="B235" t="str">
        <x:v>Company_233</x:v>
      </x:c>
      <x:c r="C235" t="str">
        <x:v>Cybersecurity</x:v>
      </x:c>
      <x:c r="D235" t="str">
        <x:v>US</x:v>
      </x:c>
      <x:c r="E235" s="14" t="n">
        <x:v>45548</x:v>
      </x:c>
      <x:c r="F235" t="str">
        <x:v>2024-09</x:v>
      </x:c>
      <x:c r="G235" t="str">
        <x:v>ads</x:v>
      </x:c>
      <x:c r="H235" t="str">
        <x:v>Enterprise</x:v>
      </x:c>
      <x:c r="I235" t="n">
        <x:v>13</x:v>
      </x:c>
      <x:c r="J235" s="1" t="b">
        <x:v>0</x:v>
      </x:c>
      <x:c r="K235" t="str">
        <x:v>Churned</x:v>
      </x:c>
      <x:c r="L235" t="n">
        <x:v>80</x:v>
      </x:c>
      <x:c r="M235" t="str">
        <x:v>budget</x:v>
      </x:c>
      <x:c r="N235" t="n">
        <x:v>1</x:v>
      </x:c>
      <x:c r="O235" t="n">
        <x:v>8</x:v>
      </x:c>
      <x:c r="P235" s="16" t="n">
        <x:v>11144</x:v>
      </x:c>
      <x:c r="Q235" t="n">
        <x:v>1</x:v>
      </x:c>
      <x:c r="R235" t="n">
        <x:v>0</x:v>
      </x:c>
      <x:c r="S235" t="n">
        <x:v>369</x:v>
      </x:c>
      <x:c r="T235" s="18" t="n">
        <x:v>30.95888888888889</x:v>
      </x:c>
      <x:c r="U235" t="n">
        <x:v>12</x:v>
      </x:c>
      <x:c r="V235" t="n">
        <x:v>25</x:v>
      </x:c>
      <x:c r="W235" t="n">
        <x:v>2</x:v>
      </x:c>
      <x:c r="X235" s="18" t="n">
        <x:v>33.5</x:v>
      </x:c>
      <x:c r="Y235" s="18" t="n">
        <x:v>112.5</x:v>
      </x:c>
      <x:c r="Z235" s="18" t="n">
        <x:v>3.5</x:v>
      </x:c>
      <x:c r="AA235" t="n">
        <x:v>0</x:v>
      </x:c>
    </x:row>
    <x:row r="236">
      <x:c r="A236" t="str">
        <x:v>A-e89151</x:v>
      </x:c>
      <x:c r="B236" t="str">
        <x:v>Company_234</x:v>
      </x:c>
      <x:c r="C236" t="str">
        <x:v>FinTech</x:v>
      </x:c>
      <x:c r="D236" t="str">
        <x:v>UK</x:v>
      </x:c>
      <x:c r="E236" s="14" t="n">
        <x:v>45183</x:v>
      </x:c>
      <x:c r="F236" t="str">
        <x:v>2023-09</x:v>
      </x:c>
      <x:c r="G236" t="str">
        <x:v>organic</x:v>
      </x:c>
      <x:c r="H236" t="str">
        <x:v>Pro</x:v>
      </x:c>
      <x:c r="I236" t="n">
        <x:v>8</x:v>
      </x:c>
      <x:c r="J236" s="1" t="b">
        <x:v>1</x:v>
      </x:c>
      <x:c r="K236" t="str">
        <x:v>Churned</x:v>
      </x:c>
      <x:c r="L236" t="n">
        <x:v>474</x:v>
      </x:c>
      <x:c r="M236" t="str"/>
      <x:c r="N236" t="n">
        <x:v>0</x:v>
      </x:c>
      <x:c r="O236" t="n">
        <x:v>9</x:v>
      </x:c>
      <x:c r="P236" s="16" t="n">
        <x:v>19762</x:v>
      </x:c>
      <x:c r="Q236" t="n">
        <x:v>3</x:v>
      </x:c>
      <x:c r="R236" t="n">
        <x:v>0</x:v>
      </x:c>
      <x:c r="S236" t="n">
        <x:v>601</x:v>
      </x:c>
      <x:c r="T236" s="18" t="n">
        <x:v>52.440555555555555</x:v>
      </x:c>
      <x:c r="U236" t="n">
        <x:v>29</x:v>
      </x:c>
      <x:c r="V236" t="n">
        <x:v>30</x:v>
      </x:c>
      <x:c r="W236" t="n">
        <x:v>2</x:v>
      </x:c>
      <x:c r="X236" s="18" t="n">
        <x:v>41.5</x:v>
      </x:c>
      <x:c r="Y236" s="18" t="n">
        <x:v>48.5</x:v>
      </x:c>
      <x:c r="Z236" s="18" t="n">
        <x:v>5</x:v>
      </x:c>
      <x:c r="AA236" t="n">
        <x:v>0</x:v>
      </x:c>
    </x:row>
    <x:row r="237">
      <x:c r="A237" t="str">
        <x:v>A-40906c</x:v>
      </x:c>
      <x:c r="B237" t="str">
        <x:v>Company_235</x:v>
      </x:c>
      <x:c r="C237" t="str">
        <x:v>EdTech</x:v>
      </x:c>
      <x:c r="D237" t="str">
        <x:v>US</x:v>
      </x:c>
      <x:c r="E237" s="14" t="n">
        <x:v>45378</x:v>
      </x:c>
      <x:c r="F237" t="str">
        <x:v>2024-03</x:v>
      </x:c>
      <x:c r="G237" t="str">
        <x:v>ads</x:v>
      </x:c>
      <x:c r="H237" t="str">
        <x:v>Basic</x:v>
      </x:c>
      <x:c r="I237" t="n">
        <x:v>92</x:v>
      </x:c>
      <x:c r="J237" s="1" t="b">
        <x:v>0</x:v>
      </x:c>
      <x:c r="K237" t="str">
        <x:v>Active</x:v>
      </x:c>
      <x:c r="L237" t="n">
        <x:v>279</x:v>
      </x:c>
      <x:c r="M237" t="str"/>
      <x:c r="N237" t="n">
        <x:v>0</x:v>
      </x:c>
      <x:c r="O237" t="n">
        <x:v>12</x:v>
      </x:c>
      <x:c r="P237" s="16" t="n">
        <x:v>64400</x:v>
      </x:c>
      <x:c r="Q237" t="n">
        <x:v>0</x:v>
      </x:c>
      <x:c r="R237" t="n">
        <x:v>0</x:v>
      </x:c>
      <x:c r="S237" t="n">
        <x:v>685</x:v>
      </x:c>
      <x:c r="T237" s="18" t="n">
        <x:v>58.40083333333333</x:v>
      </x:c>
      <x:c r="U237" t="n">
        <x:v>32</x:v>
      </x:c>
      <x:c r="V237" t="n">
        <x:v>32</x:v>
      </x:c>
      <x:c r="W237" t="n">
        <x:v>5</x:v>
      </x:c>
      <x:c r="X237" s="18" t="n">
        <x:v>29.2</x:v>
      </x:c>
      <x:c r="Y237" s="18" t="n">
        <x:v>95</x:v>
      </x:c>
      <x:c r="Z237" s="18" t="n">
        <x:v>3.75</x:v>
      </x:c>
      <x:c r="AA237" t="n">
        <x:v>0</x:v>
      </x:c>
    </x:row>
    <x:row r="238">
      <x:c r="A238" t="str">
        <x:v>A-81edc3</x:v>
      </x:c>
      <x:c r="B238" t="str">
        <x:v>Company_236</x:v>
      </x:c>
      <x:c r="C238" t="str">
        <x:v>Cybersecurity</x:v>
      </x:c>
      <x:c r="D238" t="str">
        <x:v>IN</x:v>
      </x:c>
      <x:c r="E238" s="14" t="n">
        <x:v>45229</x:v>
      </x:c>
      <x:c r="F238" t="str">
        <x:v>2023-10</x:v>
      </x:c>
      <x:c r="G238" t="str">
        <x:v>ads</x:v>
      </x:c>
      <x:c r="H238" t="str">
        <x:v>Basic</x:v>
      </x:c>
      <x:c r="I238" t="n">
        <x:v>5</x:v>
      </x:c>
      <x:c r="J238" s="1" t="b">
        <x:v>0</x:v>
      </x:c>
      <x:c r="K238" t="str">
        <x:v>Active</x:v>
      </x:c>
      <x:c r="L238" t="n">
        <x:v>428</x:v>
      </x:c>
      <x:c r="M238" t="str"/>
      <x:c r="N238" t="n">
        <x:v>3</x:v>
      </x:c>
      <x:c r="O238" t="n">
        <x:v>12</x:v>
      </x:c>
      <x:c r="P238" s="16" t="n">
        <x:v>17524</x:v>
      </x:c>
      <x:c r="Q238" t="n">
        <x:v>2</x:v>
      </x:c>
      <x:c r="R238" t="n">
        <x:v>0</x:v>
      </x:c>
      <x:c r="S238" t="n">
        <x:v>765</x:v>
      </x:c>
      <x:c r="T238" s="18" t="n">
        <x:v>68.07777777777778</x:v>
      </x:c>
      <x:c r="U238" t="n">
        <x:v>41</x:v>
      </x:c>
      <x:c r="V238" t="n">
        <x:v>33</x:v>
      </x:c>
      <x:c r="W238" t="n">
        <x:v>3</x:v>
      </x:c>
      <x:c r="X238" s="18" t="n">
        <x:v>52.666666666666664</x:v>
      </x:c>
      <x:c r="Y238" s="18" t="n">
        <x:v>70</x:v>
      </x:c>
      <x:c r="Z238" s="18" t="n">
        <x:v>4</x:v>
      </x:c>
      <x:c r="AA238" t="n">
        <x:v>0</x:v>
      </x:c>
    </x:row>
    <x:row r="239">
      <x:c r="A239" t="str">
        <x:v>A-328bd0</x:v>
      </x:c>
      <x:c r="B239" t="str">
        <x:v>Company_237</x:v>
      </x:c>
      <x:c r="C239" t="str">
        <x:v>HealthTech</x:v>
      </x:c>
      <x:c r="D239" t="str">
        <x:v>AU</x:v>
      </x:c>
      <x:c r="E239" s="14" t="n">
        <x:v>45062</x:v>
      </x:c>
      <x:c r="F239" t="str">
        <x:v>2023-05</x:v>
      </x:c>
      <x:c r="G239" t="str">
        <x:v>partner</x:v>
      </x:c>
      <x:c r="H239" t="str">
        <x:v>Enterprise</x:v>
      </x:c>
      <x:c r="I239" t="n">
        <x:v>18</x:v>
      </x:c>
      <x:c r="J239" s="1" t="b">
        <x:v>0</x:v>
      </x:c>
      <x:c r="K239" t="str">
        <x:v>Active</x:v>
      </x:c>
      <x:c r="L239" t="n">
        <x:v>595</x:v>
      </x:c>
      <x:c r="M239" t="str"/>
      <x:c r="N239" t="n">
        <x:v>0</x:v>
      </x:c>
      <x:c r="O239" t="n">
        <x:v>13</x:v>
      </x:c>
      <x:c r="P239" s="16" t="n">
        <x:v>13726</x:v>
      </x:c>
      <x:c r="Q239" t="n">
        <x:v>1</x:v>
      </x:c>
      <x:c r="R239" t="n">
        <x:v>1</x:v>
      </x:c>
      <x:c r="S239" t="n">
        <x:v>568</x:v>
      </x:c>
      <x:c r="T239" s="18" t="n">
        <x:v>45.05833333333333</x:v>
      </x:c>
      <x:c r="U239" t="n">
        <x:v>49</x:v>
      </x:c>
      <x:c r="V239" t="n">
        <x:v>30</x:v>
      </x:c>
      <x:c r="W239" t="n">
        <x:v>5</x:v>
      </x:c>
      <x:c r="X239" s="18" t="n">
        <x:v>46</x:v>
      </x:c>
      <x:c r="Y239" s="18" t="n">
        <x:v>68.2</x:v>
      </x:c>
      <x:c r="Z239" s="18" t="n">
        <x:v>3.6666666666666665</x:v>
      </x:c>
      <x:c r="AA239" t="n">
        <x:v>0</x:v>
      </x:c>
    </x:row>
    <x:row r="240">
      <x:c r="A240" t="str">
        <x:v>A-b3fe05</x:v>
      </x:c>
      <x:c r="B240" t="str">
        <x:v>Company_238</x:v>
      </x:c>
      <x:c r="C240" t="str">
        <x:v>Cybersecurity</x:v>
      </x:c>
      <x:c r="D240" t="str">
        <x:v>CA</x:v>
      </x:c>
      <x:c r="E240" s="14" t="n">
        <x:v>45440</x:v>
      </x:c>
      <x:c r="F240" t="str">
        <x:v>2024-05</x:v>
      </x:c>
      <x:c r="G240" t="str">
        <x:v>partner</x:v>
      </x:c>
      <x:c r="H240" t="str">
        <x:v>Pro</x:v>
      </x:c>
      <x:c r="I240" t="n">
        <x:v>8</x:v>
      </x:c>
      <x:c r="J240" s="1" t="b">
        <x:v>0</x:v>
      </x:c>
      <x:c r="K240" t="str">
        <x:v>Active</x:v>
      </x:c>
      <x:c r="L240" t="n">
        <x:v>217</x:v>
      </x:c>
      <x:c r="M240" t="str"/>
      <x:c r="N240" t="n">
        <x:v>0</x:v>
      </x:c>
      <x:c r="O240" t="n">
        <x:v>9</x:v>
      </x:c>
      <x:c r="P240" s="16" t="n">
        <x:v>24102</x:v>
      </x:c>
      <x:c r="Q240" t="n">
        <x:v>0</x:v>
      </x:c>
      <x:c r="R240" t="n">
        <x:v>0</x:v>
      </x:c>
      <x:c r="S240" t="n">
        <x:v>438</x:v>
      </x:c>
      <x:c r="T240" s="18" t="n">
        <x:v>39.43388888888889</x:v>
      </x:c>
      <x:c r="U240" t="n">
        <x:v>18</x:v>
      </x:c>
      <x:c r="V240" t="n">
        <x:v>29</x:v>
      </x:c>
      <x:c r="W240" t="n">
        <x:v>4</x:v>
      </x:c>
      <x:c r="X240" s="18" t="n">
        <x:v>48.25</x:v>
      </x:c>
      <x:c r="Y240" s="18" t="n">
        <x:v>94.25</x:v>
      </x:c>
      <x:c r="Z240" s="18" t="n">
        <x:v>3</x:v>
      </x:c>
      <x:c r="AA240" t="n">
        <x:v>0</x:v>
      </x:c>
    </x:row>
    <x:row r="241">
      <x:c r="A241" t="str">
        <x:v>A-09540c</x:v>
      </x:c>
      <x:c r="B241" t="str">
        <x:v>Company_239</x:v>
      </x:c>
      <x:c r="C241" t="str">
        <x:v>Cybersecurity</x:v>
      </x:c>
      <x:c r="D241" t="str">
        <x:v>CA</x:v>
      </x:c>
      <x:c r="E241" s="14" t="n">
        <x:v>45229</x:v>
      </x:c>
      <x:c r="F241" t="str">
        <x:v>2023-10</x:v>
      </x:c>
      <x:c r="G241" t="str">
        <x:v>event</x:v>
      </x:c>
      <x:c r="H241" t="str">
        <x:v>Basic</x:v>
      </x:c>
      <x:c r="I241" t="n">
        <x:v>67</x:v>
      </x:c>
      <x:c r="J241" s="1" t="b">
        <x:v>1</x:v>
      </x:c>
      <x:c r="K241" t="str">
        <x:v>Active</x:v>
      </x:c>
      <x:c r="L241" t="n">
        <x:v>428</x:v>
      </x:c>
      <x:c r="M241" t="str"/>
      <x:c r="N241" t="n">
        <x:v>1</x:v>
      </x:c>
      <x:c r="O241" t="n">
        <x:v>6</x:v>
      </x:c>
      <x:c r="P241" s="16" t="n">
        <x:v>22445</x:v>
      </x:c>
      <x:c r="Q241" t="n">
        <x:v>1</x:v>
      </x:c>
      <x:c r="R241" t="n">
        <x:v>1</x:v>
      </x:c>
      <x:c r="S241" t="n">
        <x:v>297</x:v>
      </x:c>
      <x:c r="T241" s="18" t="n">
        <x:v>26.304444444444446</x:v>
      </x:c>
      <x:c r="U241" t="n">
        <x:v>16</x:v>
      </x:c>
      <x:c r="V241" t="n">
        <x:v>20</x:v>
      </x:c>
      <x:c r="W241" t="n">
        <x:v>2</x:v>
      </x:c>
      <x:c r="X241" s="18" t="n">
        <x:v>28</x:v>
      </x:c>
      <x:c r="Y241" s="18" t="n">
        <x:v>89</x:v>
      </x:c>
      <x:c r="Z241" s="18" t="n">
        <x:v>4.5</x:v>
      </x:c>
      <x:c r="AA241" t="n">
        <x:v>0</x:v>
      </x:c>
    </x:row>
    <x:row r="242">
      <x:c r="A242" t="str">
        <x:v>A-e693b6</x:v>
      </x:c>
      <x:c r="B242" t="str">
        <x:v>Company_240</x:v>
      </x:c>
      <x:c r="C242" t="str">
        <x:v>FinTech</x:v>
      </x:c>
      <x:c r="D242" t="str">
        <x:v>AU</x:v>
      </x:c>
      <x:c r="E242" s="14" t="n">
        <x:v>45071</x:v>
      </x:c>
      <x:c r="F242" t="str">
        <x:v>2023-05</x:v>
      </x:c>
      <x:c r="G242" t="str">
        <x:v>event</x:v>
      </x:c>
      <x:c r="H242" t="str">
        <x:v>Enterprise</x:v>
      </x:c>
      <x:c r="I242" t="n">
        <x:v>55</x:v>
      </x:c>
      <x:c r="J242" s="1" t="b">
        <x:v>0</x:v>
      </x:c>
      <x:c r="K242" t="str">
        <x:v>Churned</x:v>
      </x:c>
      <x:c r="L242" t="n">
        <x:v>504</x:v>
      </x:c>
      <x:c r="M242" t="str">
        <x:v>budget</x:v>
      </x:c>
      <x:c r="N242" t="n">
        <x:v>1</x:v>
      </x:c>
      <x:c r="O242" t="n">
        <x:v>12</x:v>
      </x:c>
      <x:c r="P242" s="16" t="n">
        <x:v>30415</x:v>
      </x:c>
      <x:c r="Q242" t="n">
        <x:v>1</x:v>
      </x:c>
      <x:c r="R242" t="n">
        <x:v>0</x:v>
      </x:c>
      <x:c r="S242" t="n">
        <x:v>681</x:v>
      </x:c>
      <x:c r="T242" s="18" t="n">
        <x:v>57.26861111111111</x:v>
      </x:c>
      <x:c r="U242" t="n">
        <x:v>25</x:v>
      </x:c>
      <x:c r="V242" t="n">
        <x:v>31</x:v>
      </x:c>
      <x:c r="W242" t="n">
        <x:v>1</x:v>
      </x:c>
      <x:c r="X242" s="18" t="n">
        <x:v>1</x:v>
      </x:c>
      <x:c r="Y242" s="18" t="n">
        <x:v>144</x:v>
      </x:c>
      <x:c r="Z242" s="18" t="n">
        <x:v>3</x:v>
      </x:c>
      <x:c r="AA242" t="n">
        <x:v>0</x:v>
      </x:c>
    </x:row>
    <x:row r="243">
      <x:c r="A243" t="str">
        <x:v>A-2446e3</x:v>
      </x:c>
      <x:c r="B243" t="str">
        <x:v>Company_241</x:v>
      </x:c>
      <x:c r="C243" t="str">
        <x:v>EdTech</x:v>
      </x:c>
      <x:c r="D243" t="str">
        <x:v>IN</x:v>
      </x:c>
      <x:c r="E243" s="14" t="n">
        <x:v>45301</x:v>
      </x:c>
      <x:c r="F243" t="str">
        <x:v>2024-01</x:v>
      </x:c>
      <x:c r="G243" t="str">
        <x:v>organic</x:v>
      </x:c>
      <x:c r="H243" t="str">
        <x:v>Pro</x:v>
      </x:c>
      <x:c r="I243" t="n">
        <x:v>27</x:v>
      </x:c>
      <x:c r="J243" s="1" t="b">
        <x:v>0</x:v>
      </x:c>
      <x:c r="K243" t="str">
        <x:v>Active</x:v>
      </x:c>
      <x:c r="L243" t="n">
        <x:v>356</x:v>
      </x:c>
      <x:c r="M243" t="str"/>
      <x:c r="N243" t="n">
        <x:v>2</x:v>
      </x:c>
      <x:c r="O243" t="n">
        <x:v>7</x:v>
      </x:c>
      <x:c r="P243" s="16" t="n">
        <x:v>24138</x:v>
      </x:c>
      <x:c r="Q243" t="n">
        <x:v>1</x:v>
      </x:c>
      <x:c r="R243" t="n">
        <x:v>1</x:v>
      </x:c>
      <x:c r="S243" t="n">
        <x:v>496</x:v>
      </x:c>
      <x:c r="T243" s="18" t="n">
        <x:v>41.95472222222222</x:v>
      </x:c>
      <x:c r="U243" t="n">
        <x:v>32</x:v>
      </x:c>
      <x:c r="V243" t="n">
        <x:v>28</x:v>
      </x:c>
      <x:c r="W243" t="n">
        <x:v>3</x:v>
      </x:c>
      <x:c r="X243" s="18" t="n">
        <x:v>28.666666666666668</x:v>
      </x:c>
      <x:c r="Y243" s="18" t="n">
        <x:v>104.66666666666667</x:v>
      </x:c>
      <x:c r="Z243" s="18" t="n">
        <x:v>4</x:v>
      </x:c>
      <x:c r="AA243" t="n">
        <x:v>0</x:v>
      </x:c>
    </x:row>
    <x:row r="244">
      <x:c r="A244" t="str">
        <x:v>A-241e75</x:v>
      </x:c>
      <x:c r="B244" t="str">
        <x:v>Company_242</x:v>
      </x:c>
      <x:c r="C244" t="str">
        <x:v>EdTech</x:v>
      </x:c>
      <x:c r="D244" t="str">
        <x:v>US</x:v>
      </x:c>
      <x:c r="E244" s="14" t="n">
        <x:v>45476</x:v>
      </x:c>
      <x:c r="F244" t="str">
        <x:v>2024-07</x:v>
      </x:c>
      <x:c r="G244" t="str">
        <x:v>partner</x:v>
      </x:c>
      <x:c r="H244" t="str">
        <x:v>Enterprise</x:v>
      </x:c>
      <x:c r="I244" t="n">
        <x:v>3</x:v>
      </x:c>
      <x:c r="J244" s="1" t="b">
        <x:v>0</x:v>
      </x:c>
      <x:c r="K244" t="str">
        <x:v>Active</x:v>
      </x:c>
      <x:c r="L244" t="n">
        <x:v>181</x:v>
      </x:c>
      <x:c r="M244" t="str"/>
      <x:c r="N244" t="n">
        <x:v>2</x:v>
      </x:c>
      <x:c r="O244" t="n">
        <x:v>5</x:v>
      </x:c>
      <x:c r="P244" s="16" t="n">
        <x:v>3594</x:v>
      </x:c>
      <x:c r="Q244" t="n">
        <x:v>0</x:v>
      </x:c>
      <x:c r="R244" t="n">
        <x:v>1</x:v>
      </x:c>
      <x:c r="S244" t="n">
        <x:v>266</x:v>
      </x:c>
      <x:c r="T244" s="18" t="n">
        <x:v>27.849166666666665</x:v>
      </x:c>
      <x:c r="U244" t="n">
        <x:v>20</x:v>
      </x:c>
      <x:c r="V244" t="n">
        <x:v>17</x:v>
      </x:c>
      <x:c r="W244" t="n">
        <x:v>4</x:v>
      </x:c>
      <x:c r="X244" s="18" t="n">
        <x:v>31.5</x:v>
      </x:c>
      <x:c r="Y244" s="18" t="n">
        <x:v>101</x:v>
      </x:c>
      <x:c r="Z244" s="18" t="n">
        <x:v>4.5</x:v>
      </x:c>
      <x:c r="AA244" t="n">
        <x:v>0</x:v>
      </x:c>
    </x:row>
    <x:row r="245">
      <x:c r="A245" t="str">
        <x:v>A-922109</x:v>
      </x:c>
      <x:c r="B245" t="str">
        <x:v>Company_243</x:v>
      </x:c>
      <x:c r="C245" t="str">
        <x:v>Cybersecurity</x:v>
      </x:c>
      <x:c r="D245" t="str">
        <x:v>US</x:v>
      </x:c>
      <x:c r="E245" s="14" t="n">
        <x:v>45317</x:v>
      </x:c>
      <x:c r="F245" t="str">
        <x:v>2024-01</x:v>
      </x:c>
      <x:c r="G245" t="str">
        <x:v>ads</x:v>
      </x:c>
      <x:c r="H245" t="str">
        <x:v>Pro</x:v>
      </x:c>
      <x:c r="I245" t="n">
        <x:v>3</x:v>
      </x:c>
      <x:c r="J245" s="1" t="b">
        <x:v>0</x:v>
      </x:c>
      <x:c r="K245" t="str">
        <x:v>Active</x:v>
      </x:c>
      <x:c r="L245" t="n">
        <x:v>340</x:v>
      </x:c>
      <x:c r="M245" t="str"/>
      <x:c r="N245" t="n">
        <x:v>2</x:v>
      </x:c>
      <x:c r="O245" t="n">
        <x:v>13</x:v>
      </x:c>
      <x:c r="P245" s="16" t="n">
        <x:v>13677</x:v>
      </x:c>
      <x:c r="Q245" t="n">
        <x:v>0</x:v>
      </x:c>
      <x:c r="R245" t="n">
        <x:v>0</x:v>
      </x:c>
      <x:c r="S245" t="n">
        <x:v>819</x:v>
      </x:c>
      <x:c r="T245" s="18" t="n">
        <x:v>76.24</x:v>
      </x:c>
      <x:c r="U245" t="n">
        <x:v>34</x:v>
      </x:c>
      <x:c r="V245" t="n">
        <x:v>35</x:v>
      </x:c>
      <x:c r="W245" t="n">
        <x:v>3</x:v>
      </x:c>
      <x:c r="X245" s="18" t="n">
        <x:v>25.333333333333332</x:v>
      </x:c>
      <x:c r="Y245" s="18" t="n">
        <x:v>127</x:v>
      </x:c>
      <x:c r="Z245" s="18" t="n">
        <x:v>3</x:v>
      </x:c>
      <x:c r="AA245" t="n">
        <x:v>0</x:v>
      </x:c>
    </x:row>
    <x:row r="246">
      <x:c r="A246" t="str">
        <x:v>A-ff3c73</x:v>
      </x:c>
      <x:c r="B246" t="str">
        <x:v>Company_244</x:v>
      </x:c>
      <x:c r="C246" t="str">
        <x:v>HealthTech</x:v>
      </x:c>
      <x:c r="D246" t="str">
        <x:v>AU</x:v>
      </x:c>
      <x:c r="E246" s="14" t="n">
        <x:v>44952</x:v>
      </x:c>
      <x:c r="F246" t="str">
        <x:v>2023-01</x:v>
      </x:c>
      <x:c r="G246" t="str">
        <x:v>other</x:v>
      </x:c>
      <x:c r="H246" t="str">
        <x:v>Pro</x:v>
      </x:c>
      <x:c r="I246" t="n">
        <x:v>21</x:v>
      </x:c>
      <x:c r="J246" s="1" t="b">
        <x:v>0</x:v>
      </x:c>
      <x:c r="K246" t="str">
        <x:v>Active</x:v>
      </x:c>
      <x:c r="L246" t="n">
        <x:v>705</x:v>
      </x:c>
      <x:c r="M246" t="str"/>
      <x:c r="N246" t="n">
        <x:v>2</x:v>
      </x:c>
      <x:c r="O246" t="n">
        <x:v>9</x:v>
      </x:c>
      <x:c r="P246" s="16" t="n">
        <x:v>4335</x:v>
      </x:c>
      <x:c r="Q246" t="n">
        <x:v>1</x:v>
      </x:c>
      <x:c r="R246" t="n">
        <x:v>0</x:v>
      </x:c>
      <x:c r="S246" t="n">
        <x:v>408</x:v>
      </x:c>
      <x:c r="T246" s="18" t="n">
        <x:v>39.996944444444445</x:v>
      </x:c>
      <x:c r="U246" t="n">
        <x:v>23</x:v>
      </x:c>
      <x:c r="V246" t="n">
        <x:v>29</x:v>
      </x:c>
      <x:c r="W246" t="n">
        <x:v>2</x:v>
      </x:c>
      <x:c r="X246" s="18" t="n">
        <x:v>35.5</x:v>
      </x:c>
      <x:c r="Y246" s="18" t="n">
        <x:v>97.5</x:v>
      </x:c>
      <x:c r="Z246" s="18" t="n">
        <x:v>3.5</x:v>
      </x:c>
      <x:c r="AA246" t="n">
        <x:v>0</x:v>
      </x:c>
    </x:row>
    <x:row r="247">
      <x:c r="A247" t="str">
        <x:v>A-8b0451</x:v>
      </x:c>
      <x:c r="B247" t="str">
        <x:v>Company_245</x:v>
      </x:c>
      <x:c r="C247" t="str">
        <x:v>FinTech</x:v>
      </x:c>
      <x:c r="D247" t="str">
        <x:v>UK</x:v>
      </x:c>
      <x:c r="E247" s="14" t="n">
        <x:v>45551</x:v>
      </x:c>
      <x:c r="F247" t="str">
        <x:v>2024-09</x:v>
      </x:c>
      <x:c r="G247" t="str">
        <x:v>event</x:v>
      </x:c>
      <x:c r="H247" t="str">
        <x:v>Enterprise</x:v>
      </x:c>
      <x:c r="I247" t="n">
        <x:v>41</x:v>
      </x:c>
      <x:c r="J247" s="1" t="b">
        <x:v>0</x:v>
      </x:c>
      <x:c r="K247" t="str">
        <x:v>Active</x:v>
      </x:c>
      <x:c r="L247" t="n">
        <x:v>106</x:v>
      </x:c>
      <x:c r="M247" t="str"/>
      <x:c r="N247" t="n">
        <x:v>1</x:v>
      </x:c>
      <x:c r="O247" t="n">
        <x:v>10</x:v>
      </x:c>
      <x:c r="P247" s="16" t="n">
        <x:v>23550</x:v>
      </x:c>
      <x:c r="Q247" t="n">
        <x:v>0</x:v>
      </x:c>
      <x:c r="R247" t="n">
        <x:v>0</x:v>
      </x:c>
      <x:c r="S247" t="n">
        <x:v>606</x:v>
      </x:c>
      <x:c r="T247" s="18" t="n">
        <x:v>49.425</x:v>
      </x:c>
      <x:c r="U247" t="n">
        <x:v>45</x:v>
      </x:c>
      <x:c r="V247" t="n">
        <x:v>32</x:v>
      </x:c>
      <x:c r="W247" t="n">
        <x:v>7</x:v>
      </x:c>
      <x:c r="X247" s="18" t="n">
        <x:v>26.571428571428573</x:v>
      </x:c>
      <x:c r="Y247" s="18" t="n">
        <x:v>83.71428571428571</x:v>
      </x:c>
      <x:c r="Z247" s="18" t="n">
        <x:v>3.5</x:v>
      </x:c>
      <x:c r="AA247" t="n">
        <x:v>0</x:v>
      </x:c>
    </x:row>
    <x:row r="248">
      <x:c r="A248" t="str">
        <x:v>A-331424</x:v>
      </x:c>
      <x:c r="B248" t="str">
        <x:v>Company_246</x:v>
      </x:c>
      <x:c r="C248" t="str">
        <x:v>DevTools</x:v>
      </x:c>
      <x:c r="D248" t="str">
        <x:v>US</x:v>
      </x:c>
      <x:c r="E248" s="14" t="n">
        <x:v>45236</x:v>
      </x:c>
      <x:c r="F248" t="str">
        <x:v>2023-11</x:v>
      </x:c>
      <x:c r="G248" t="str">
        <x:v>organic</x:v>
      </x:c>
      <x:c r="H248" t="str">
        <x:v>Basic</x:v>
      </x:c>
      <x:c r="I248" t="n">
        <x:v>11</x:v>
      </x:c>
      <x:c r="J248" s="1" t="b">
        <x:v>0</x:v>
      </x:c>
      <x:c r="K248" t="str">
        <x:v>Active</x:v>
      </x:c>
      <x:c r="L248" t="n">
        <x:v>421</x:v>
      </x:c>
      <x:c r="M248" t="str"/>
      <x:c r="N248" t="n">
        <x:v>1</x:v>
      </x:c>
      <x:c r="O248" t="n">
        <x:v>6</x:v>
      </x:c>
      <x:c r="P248" s="16" t="n">
        <x:v>6567</x:v>
      </x:c>
      <x:c r="Q248" t="n">
        <x:v>0</x:v>
      </x:c>
      <x:c r="R248" t="n">
        <x:v>0</x:v>
      </x:c>
      <x:c r="S248" t="n">
        <x:v>214</x:v>
      </x:c>
      <x:c r="T248" s="18" t="n">
        <x:v>21.158333333333335</x:v>
      </x:c>
      <x:c r="U248" t="n">
        <x:v>9</x:v>
      </x:c>
      <x:c r="V248" t="n">
        <x:v>17</x:v>
      </x:c>
      <x:c r="W248" t="n">
        <x:v>2</x:v>
      </x:c>
      <x:c r="X248" s="18" t="n">
        <x:v>24.5</x:v>
      </x:c>
      <x:c r="Y248" s="18" t="n">
        <x:v>98.5</x:v>
      </x:c>
      <x:c r="Z248" s="18"/>
      <x:c r="AA248" t="n">
        <x:v>0</x:v>
      </x:c>
    </x:row>
    <x:row r="249">
      <x:c r="A249" t="str">
        <x:v>A-51ec1b</x:v>
      </x:c>
      <x:c r="B249" t="str">
        <x:v>Company_247</x:v>
      </x:c>
      <x:c r="C249" t="str">
        <x:v>DevTools</x:v>
      </x:c>
      <x:c r="D249" t="str">
        <x:v>US</x:v>
      </x:c>
      <x:c r="E249" s="14" t="n">
        <x:v>45238</x:v>
      </x:c>
      <x:c r="F249" t="str">
        <x:v>2023-11</x:v>
      </x:c>
      <x:c r="G249" t="str">
        <x:v>ads</x:v>
      </x:c>
      <x:c r="H249" t="str">
        <x:v>Enterprise</x:v>
      </x:c>
      <x:c r="I249" t="n">
        <x:v>7</x:v>
      </x:c>
      <x:c r="J249" s="1" t="b">
        <x:v>0</x:v>
      </x:c>
      <x:c r="K249" t="str">
        <x:v>Active</x:v>
      </x:c>
      <x:c r="L249" t="n">
        <x:v>419</x:v>
      </x:c>
      <x:c r="M249" t="str"/>
      <x:c r="N249" t="n">
        <x:v>1</x:v>
      </x:c>
      <x:c r="O249" t="n">
        <x:v>6</x:v>
      </x:c>
      <x:c r="P249" s="16" t="n">
        <x:v>8567</x:v>
      </x:c>
      <x:c r="Q249" t="n">
        <x:v>3</x:v>
      </x:c>
      <x:c r="R249" t="n">
        <x:v>2</x:v>
      </x:c>
      <x:c r="S249" t="n">
        <x:v>283</x:v>
      </x:c>
      <x:c r="T249" s="18" t="n">
        <x:v>30.878333333333334</x:v>
      </x:c>
      <x:c r="U249" t="n">
        <x:v>12</x:v>
      </x:c>
      <x:c r="V249" t="n">
        <x:v>19</x:v>
      </x:c>
      <x:c r="W249" t="n">
        <x:v>3</x:v>
      </x:c>
      <x:c r="X249" s="18" t="n">
        <x:v>52.333333333333336</x:v>
      </x:c>
      <x:c r="Y249" s="18" t="n">
        <x:v>150</x:v>
      </x:c>
      <x:c r="Z249" s="18" t="n">
        <x:v>5</x:v>
      </x:c>
      <x:c r="AA249" t="n">
        <x:v>1</x:v>
      </x:c>
    </x:row>
    <x:row r="250">
      <x:c r="A250" t="str">
        <x:v>A-bcf664</x:v>
      </x:c>
      <x:c r="B250" t="str">
        <x:v>Company_248</x:v>
      </x:c>
      <x:c r="C250" t="str">
        <x:v>DevTools</x:v>
      </x:c>
      <x:c r="D250" t="str">
        <x:v>US</x:v>
      </x:c>
      <x:c r="E250" s="14" t="n">
        <x:v>45065</x:v>
      </x:c>
      <x:c r="F250" t="str">
        <x:v>2023-05</x:v>
      </x:c>
      <x:c r="G250" t="str">
        <x:v>other</x:v>
      </x:c>
      <x:c r="H250" t="str">
        <x:v>Pro</x:v>
      </x:c>
      <x:c r="I250" t="n">
        <x:v>5</x:v>
      </x:c>
      <x:c r="J250" s="1" t="b">
        <x:v>0</x:v>
      </x:c>
      <x:c r="K250" t="str">
        <x:v>Active</x:v>
      </x:c>
      <x:c r="L250" t="n">
        <x:v>592</x:v>
      </x:c>
      <x:c r="M250" t="str"/>
      <x:c r="N250" t="n">
        <x:v>3</x:v>
      </x:c>
      <x:c r="O250" t="n">
        <x:v>13</x:v>
      </x:c>
      <x:c r="P250" s="16" t="n">
        <x:v>11340</x:v>
      </x:c>
      <x:c r="Q250" t="n">
        <x:v>0</x:v>
      </x:c>
      <x:c r="R250" t="n">
        <x:v>0</x:v>
      </x:c>
      <x:c r="S250" t="n">
        <x:v>575</x:v>
      </x:c>
      <x:c r="T250" s="18" t="n">
        <x:v>50.53333333333333</x:v>
      </x:c>
      <x:c r="U250" t="n">
        <x:v>28</x:v>
      </x:c>
      <x:c r="V250" t="n">
        <x:v>31</x:v>
      </x:c>
      <x:c r="W250" t="n">
        <x:v>5</x:v>
      </x:c>
      <x:c r="X250" s="18" t="n">
        <x:v>36</x:v>
      </x:c>
      <x:c r="Y250" s="18" t="n">
        <x:v>110.6</x:v>
      </x:c>
      <x:c r="Z250" s="18" t="n">
        <x:v>4</x:v>
      </x:c>
      <x:c r="AA250" t="n">
        <x:v>1</x:v>
      </x:c>
    </x:row>
    <x:row r="251">
      <x:c r="A251" t="str">
        <x:v>A-90a8c8</x:v>
      </x:c>
      <x:c r="B251" t="str">
        <x:v>Company_249</x:v>
      </x:c>
      <x:c r="C251" t="str">
        <x:v>FinTech</x:v>
      </x:c>
      <x:c r="D251" t="str">
        <x:v>AU</x:v>
      </x:c>
      <x:c r="E251" s="14" t="n">
        <x:v>45528</x:v>
      </x:c>
      <x:c r="F251" t="str">
        <x:v>2024-08</x:v>
      </x:c>
      <x:c r="G251" t="str">
        <x:v>organic</x:v>
      </x:c>
      <x:c r="H251" t="str">
        <x:v>Pro</x:v>
      </x:c>
      <x:c r="I251" t="n">
        <x:v>15</x:v>
      </x:c>
      <x:c r="J251" s="1" t="b">
        <x:v>0</x:v>
      </x:c>
      <x:c r="K251" t="str">
        <x:v>Active</x:v>
      </x:c>
      <x:c r="L251" t="n">
        <x:v>129</x:v>
      </x:c>
      <x:c r="M251" t="str"/>
      <x:c r="N251" t="n">
        <x:v>1</x:v>
      </x:c>
      <x:c r="O251" t="n">
        <x:v>7</x:v>
      </x:c>
      <x:c r="P251" s="16" t="n">
        <x:v>26514</x:v>
      </x:c>
      <x:c r="Q251" t="n">
        <x:v>2</x:v>
      </x:c>
      <x:c r="R251" t="n">
        <x:v>0</x:v>
      </x:c>
      <x:c r="S251" t="n">
        <x:v>404</x:v>
      </x:c>
      <x:c r="T251" s="18" t="n">
        <x:v>35.41277777777778</x:v>
      </x:c>
      <x:c r="U251" t="n">
        <x:v>20</x:v>
      </x:c>
      <x:c r="V251" t="n">
        <x:v>23</x:v>
      </x:c>
      <x:c r="W251" t="n">
        <x:v>4</x:v>
      </x:c>
      <x:c r="X251" s="18" t="n">
        <x:v>45</x:v>
      </x:c>
      <x:c r="Y251" s="18" t="n">
        <x:v>29.5</x:v>
      </x:c>
      <x:c r="Z251" s="18" t="n">
        <x:v>3.25</x:v>
      </x:c>
      <x:c r="AA251" t="n">
        <x:v>0</x:v>
      </x:c>
    </x:row>
    <x:row r="252">
      <x:c r="A252" t="str">
        <x:v>A-86cdb4</x:v>
      </x:c>
      <x:c r="B252" t="str">
        <x:v>Company_250</x:v>
      </x:c>
      <x:c r="C252" t="str">
        <x:v>DevTools</x:v>
      </x:c>
      <x:c r="D252" t="str">
        <x:v>DE</x:v>
      </x:c>
      <x:c r="E252" s="14" t="n">
        <x:v>45557</x:v>
      </x:c>
      <x:c r="F252" t="str">
        <x:v>2024-09</x:v>
      </x:c>
      <x:c r="G252" t="str">
        <x:v>partner</x:v>
      </x:c>
      <x:c r="H252" t="str">
        <x:v>Basic</x:v>
      </x:c>
      <x:c r="I252" t="n">
        <x:v>2</x:v>
      </x:c>
      <x:c r="J252" s="1" t="b">
        <x:v>0</x:v>
      </x:c>
      <x:c r="K252" t="str">
        <x:v>Active</x:v>
      </x:c>
      <x:c r="L252" t="n">
        <x:v>100</x:v>
      </x:c>
      <x:c r="M252" t="str"/>
      <x:c r="N252" t="n">
        <x:v>0</x:v>
      </x:c>
      <x:c r="O252" t="n">
        <x:v>9</x:v>
      </x:c>
      <x:c r="P252" s="16" t="n">
        <x:v>3006</x:v>
      </x:c>
      <x:c r="Q252" t="n">
        <x:v>0</x:v>
      </x:c>
      <x:c r="R252" t="n">
        <x:v>0</x:v>
      </x:c>
      <x:c r="S252" t="n">
        <x:v>492</x:v>
      </x:c>
      <x:c r="T252" s="18" t="n">
        <x:v>46.45166666666667</x:v>
      </x:c>
      <x:c r="U252" t="n">
        <x:v>24</x:v>
      </x:c>
      <x:c r="V252" t="n">
        <x:v>27</x:v>
      </x:c>
      <x:c r="W252" t="n">
        <x:v>5</x:v>
      </x:c>
      <x:c r="X252" s="18" t="n">
        <x:v>26.4</x:v>
      </x:c>
      <x:c r="Y252" s="18" t="n">
        <x:v>105.8</x:v>
      </x:c>
      <x:c r="Z252" s="18" t="n">
        <x:v>4.333333333333333</x:v>
      </x:c>
      <x:c r="AA252" t="n">
        <x:v>0</x:v>
      </x:c>
    </x:row>
    <x:row r="253">
      <x:c r="A253" t="str">
        <x:v>A-4bfa33</x:v>
      </x:c>
      <x:c r="B253" t="str">
        <x:v>Company_251</x:v>
      </x:c>
      <x:c r="C253" t="str">
        <x:v>Cybersecurity</x:v>
      </x:c>
      <x:c r="D253" t="str">
        <x:v>US</x:v>
      </x:c>
      <x:c r="E253" s="14" t="n">
        <x:v>45633</x:v>
      </x:c>
      <x:c r="F253" t="str">
        <x:v>2024-12</x:v>
      </x:c>
      <x:c r="G253" t="str">
        <x:v>event</x:v>
      </x:c>
      <x:c r="H253" t="str">
        <x:v>Basic</x:v>
      </x:c>
      <x:c r="I253" t="n">
        <x:v>8</x:v>
      </x:c>
      <x:c r="J253" s="1" t="b">
        <x:v>1</x:v>
      </x:c>
      <x:c r="K253" t="str">
        <x:v>Active</x:v>
      </x:c>
      <x:c r="L253" t="n">
        <x:v>24</x:v>
      </x:c>
      <x:c r="M253" t="str"/>
      <x:c r="N253" t="n">
        <x:v>3</x:v>
      </x:c>
      <x:c r="O253" t="n">
        <x:v>7</x:v>
      </x:c>
      <x:c r="P253" s="16" t="n">
        <x:v>5165</x:v>
      </x:c>
      <x:c r="Q253" t="n">
        <x:v>0</x:v>
      </x:c>
      <x:c r="R253" t="n">
        <x:v>0</x:v>
      </x:c>
      <x:c r="S253" t="n">
        <x:v>329</x:v>
      </x:c>
      <x:c r="T253" s="18" t="n">
        <x:v>21.734444444444446</x:v>
      </x:c>
      <x:c r="U253" t="n">
        <x:v>17</x:v>
      </x:c>
      <x:c r="V253" t="n">
        <x:v>23</x:v>
      </x:c>
      <x:c r="W253" t="n">
        <x:v>4</x:v>
      </x:c>
      <x:c r="X253" s="18" t="n">
        <x:v>16.5</x:v>
      </x:c>
      <x:c r="Y253" s="18" t="n">
        <x:v>84.75</x:v>
      </x:c>
      <x:c r="Z253" s="18" t="n">
        <x:v>3.6666666666666665</x:v>
      </x:c>
      <x:c r="AA253" t="n">
        <x:v>0</x:v>
      </x:c>
    </x:row>
    <x:row r="254">
      <x:c r="A254" t="str">
        <x:v>A-dbc825</x:v>
      </x:c>
      <x:c r="B254" t="str">
        <x:v>Company_252</x:v>
      </x:c>
      <x:c r="C254" t="str">
        <x:v>EdTech</x:v>
      </x:c>
      <x:c r="D254" t="str">
        <x:v>FR</x:v>
      </x:c>
      <x:c r="E254" s="14" t="n">
        <x:v>45298</x:v>
      </x:c>
      <x:c r="F254" t="str">
        <x:v>2024-01</x:v>
      </x:c>
      <x:c r="G254" t="str">
        <x:v>partner</x:v>
      </x:c>
      <x:c r="H254" t="str">
        <x:v>Enterprise</x:v>
      </x:c>
      <x:c r="I254" t="n">
        <x:v>19</x:v>
      </x:c>
      <x:c r="J254" s="1" t="b">
        <x:v>0</x:v>
      </x:c>
      <x:c r="K254" t="str">
        <x:v>Active</x:v>
      </x:c>
      <x:c r="L254" t="n">
        <x:v>359</x:v>
      </x:c>
      <x:c r="M254" t="str"/>
      <x:c r="N254" t="n">
        <x:v>2</x:v>
      </x:c>
      <x:c r="O254" t="n">
        <x:v>16</x:v>
      </x:c>
      <x:c r="P254" s="16" t="n">
        <x:v>25702</x:v>
      </x:c>
      <x:c r="Q254" t="n">
        <x:v>2</x:v>
      </x:c>
      <x:c r="R254" t="n">
        <x:v>0</x:v>
      </x:c>
      <x:c r="S254" t="n">
        <x:v>730</x:v>
      </x:c>
      <x:c r="T254" s="18" t="n">
        <x:v>59.11138888888889</x:v>
      </x:c>
      <x:c r="U254" t="n">
        <x:v>58</x:v>
      </x:c>
      <x:c r="V254" t="n">
        <x:v>34</x:v>
      </x:c>
      <x:c r="W254" t="n">
        <x:v>6</x:v>
      </x:c>
      <x:c r="X254" s="18" t="n">
        <x:v>49.5</x:v>
      </x:c>
      <x:c r="Y254" s="18" t="n">
        <x:v>108.16666666666667</x:v>
      </x:c>
      <x:c r="Z254" s="18" t="n">
        <x:v>4</x:v>
      </x:c>
      <x:c r="AA254" t="n">
        <x:v>1</x:v>
      </x:c>
    </x:row>
    <x:row r="255">
      <x:c r="A255" t="str">
        <x:v>A-c70870</x:v>
      </x:c>
      <x:c r="B255" t="str">
        <x:v>Company_253</x:v>
      </x:c>
      <x:c r="C255" t="str">
        <x:v>Cybersecurity</x:v>
      </x:c>
      <x:c r="D255" t="str">
        <x:v>US</x:v>
      </x:c>
      <x:c r="E255" s="14" t="n">
        <x:v>45587</x:v>
      </x:c>
      <x:c r="F255" t="str">
        <x:v>2024-10</x:v>
      </x:c>
      <x:c r="G255" t="str">
        <x:v>partner</x:v>
      </x:c>
      <x:c r="H255" t="str">
        <x:v>Basic</x:v>
      </x:c>
      <x:c r="I255" t="n">
        <x:v>31</x:v>
      </x:c>
      <x:c r="J255" s="1" t="b">
        <x:v>0</x:v>
      </x:c>
      <x:c r="K255" t="str">
        <x:v>Active</x:v>
      </x:c>
      <x:c r="L255" t="n">
        <x:v>70</x:v>
      </x:c>
      <x:c r="M255" t="str"/>
      <x:c r="N255" t="n">
        <x:v>1</x:v>
      </x:c>
      <x:c r="O255" t="n">
        <x:v>7</x:v>
      </x:c>
      <x:c r="P255" s="16" t="n">
        <x:v>39614</x:v>
      </x:c>
      <x:c r="Q255" t="n">
        <x:v>2</x:v>
      </x:c>
      <x:c r="R255" t="n">
        <x:v>1</x:v>
      </x:c>
      <x:c r="S255" t="n">
        <x:v>334</x:v>
      </x:c>
      <x:c r="T255" s="18" t="n">
        <x:v>29.538333333333334</x:v>
      </x:c>
      <x:c r="U255" t="n">
        <x:v>18</x:v>
      </x:c>
      <x:c r="V255" t="n">
        <x:v>23</x:v>
      </x:c>
      <x:c r="W255" t="n">
        <x:v>5</x:v>
      </x:c>
      <x:c r="X255" s="18" t="n">
        <x:v>35.6</x:v>
      </x:c>
      <x:c r="Y255" s="18" t="n">
        <x:v>105.8</x:v>
      </x:c>
      <x:c r="Z255" s="18" t="n">
        <x:v>4</x:v>
      </x:c>
      <x:c r="AA255" t="n">
        <x:v>0</x:v>
      </x:c>
    </x:row>
    <x:row r="256">
      <x:c r="A256" t="str">
        <x:v>A-7c4956</x:v>
      </x:c>
      <x:c r="B256" t="str">
        <x:v>Company_254</x:v>
      </x:c>
      <x:c r="C256" t="str">
        <x:v>DevTools</x:v>
      </x:c>
      <x:c r="D256" t="str">
        <x:v>US</x:v>
      </x:c>
      <x:c r="E256" s="14" t="n">
        <x:v>45052</x:v>
      </x:c>
      <x:c r="F256" t="str">
        <x:v>2023-05</x:v>
      </x:c>
      <x:c r="G256" t="str">
        <x:v>ads</x:v>
      </x:c>
      <x:c r="H256" t="str">
        <x:v>Enterprise</x:v>
      </x:c>
      <x:c r="I256" t="n">
        <x:v>5</x:v>
      </x:c>
      <x:c r="J256" s="1" t="b">
        <x:v>0</x:v>
      </x:c>
      <x:c r="K256" t="str">
        <x:v>Churned</x:v>
      </x:c>
      <x:c r="L256" t="n">
        <x:v>605</x:v>
      </x:c>
      <x:c r="M256" t="str"/>
      <x:c r="N256" t="n">
        <x:v>0</x:v>
      </x:c>
      <x:c r="O256" t="n">
        <x:v>8</x:v>
      </x:c>
      <x:c r="P256" s="16" t="n">
        <x:v>3314</x:v>
      </x:c>
      <x:c r="Q256" t="n">
        <x:v>0</x:v>
      </x:c>
      <x:c r="R256" t="n">
        <x:v>0</x:v>
      </x:c>
      <x:c r="S256" t="n">
        <x:v>475</x:v>
      </x:c>
      <x:c r="T256" s="18" t="n">
        <x:v>36.02972222222222</x:v>
      </x:c>
      <x:c r="U256" t="n">
        <x:v>40</x:v>
      </x:c>
      <x:c r="V256" t="n">
        <x:v>27</x:v>
      </x:c>
      <x:c r="W256" t="n">
        <x:v>3</x:v>
      </x:c>
      <x:c r="X256" s="18" t="n">
        <x:v>13.666666666666666</x:v>
      </x:c>
      <x:c r="Y256" s="18" t="n">
        <x:v>66.66666666666667</x:v>
      </x:c>
      <x:c r="Z256" s="18" t="n">
        <x:v>4</x:v>
      </x:c>
      <x:c r="AA256" t="n">
        <x:v>0</x:v>
      </x:c>
    </x:row>
    <x:row r="257">
      <x:c r="A257" t="str">
        <x:v>A-0651a4</x:v>
      </x:c>
      <x:c r="B257" t="str">
        <x:v>Company_255</x:v>
      </x:c>
      <x:c r="C257" t="str">
        <x:v>HealthTech</x:v>
      </x:c>
      <x:c r="D257" t="str">
        <x:v>FR</x:v>
      </x:c>
      <x:c r="E257" s="14" t="n">
        <x:v>45581</x:v>
      </x:c>
      <x:c r="F257" t="str">
        <x:v>2024-10</x:v>
      </x:c>
      <x:c r="G257" t="str">
        <x:v>organic</x:v>
      </x:c>
      <x:c r="H257" t="str">
        <x:v>Pro</x:v>
      </x:c>
      <x:c r="I257" t="n">
        <x:v>16</x:v>
      </x:c>
      <x:c r="J257" s="1" t="b">
        <x:v>0</x:v>
      </x:c>
      <x:c r="K257" t="str">
        <x:v>Active</x:v>
      </x:c>
      <x:c r="L257" t="n">
        <x:v>76</x:v>
      </x:c>
      <x:c r="M257" t="str"/>
      <x:c r="N257" t="n">
        <x:v>2</x:v>
      </x:c>
      <x:c r="O257" t="n">
        <x:v>15</x:v>
      </x:c>
      <x:c r="P257" s="16" t="n">
        <x:v>44564</x:v>
      </x:c>
      <x:c r="Q257" t="n">
        <x:v>0</x:v>
      </x:c>
      <x:c r="R257" t="n">
        <x:v>0</x:v>
      </x:c>
      <x:c r="S257" t="n">
        <x:v>705</x:v>
      </x:c>
      <x:c r="T257" s="18" t="n">
        <x:v>55.95166666666667</x:v>
      </x:c>
      <x:c r="U257" t="n">
        <x:v>37</x:v>
      </x:c>
      <x:c r="V257" t="n">
        <x:v>34</x:v>
      </x:c>
      <x:c r="W257" t="n">
        <x:v>4</x:v>
      </x:c>
      <x:c r="X257" s="18" t="n">
        <x:v>29.25</x:v>
      </x:c>
      <x:c r="Y257" s="18" t="n">
        <x:v>48.5</x:v>
      </x:c>
      <x:c r="Z257" s="18" t="n">
        <x:v>4</x:v>
      </x:c>
      <x:c r="AA257" t="n">
        <x:v>0</x:v>
      </x:c>
    </x:row>
    <x:row r="258">
      <x:c r="A258" t="str">
        <x:v>A-3ce5b8</x:v>
      </x:c>
      <x:c r="B258" t="str">
        <x:v>Company_256</x:v>
      </x:c>
      <x:c r="C258" t="str">
        <x:v>FinTech</x:v>
      </x:c>
      <x:c r="D258" t="str">
        <x:v>IN</x:v>
      </x:c>
      <x:c r="E258" s="14" t="n">
        <x:v>45176</x:v>
      </x:c>
      <x:c r="F258" t="str">
        <x:v>2023-09</x:v>
      </x:c>
      <x:c r="G258" t="str">
        <x:v>ads</x:v>
      </x:c>
      <x:c r="H258" t="str">
        <x:v>Basic</x:v>
      </x:c>
      <x:c r="I258" t="n">
        <x:v>8</x:v>
      </x:c>
      <x:c r="J258" s="1" t="b">
        <x:v>0</x:v>
      </x:c>
      <x:c r="K258" t="str">
        <x:v>Churned</x:v>
      </x:c>
      <x:c r="L258" t="n">
        <x:v>377</x:v>
      </x:c>
      <x:c r="M258" t="str">
        <x:v>features</x:v>
      </x:c>
      <x:c r="N258" t="n">
        <x:v>1</x:v>
      </x:c>
      <x:c r="O258" t="n">
        <x:v>9</x:v>
      </x:c>
      <x:c r="P258" s="16" t="n">
        <x:v>16650</x:v>
      </x:c>
      <x:c r="Q258" t="n">
        <x:v>0</x:v>
      </x:c>
      <x:c r="R258" t="n">
        <x:v>0</x:v>
      </x:c>
      <x:c r="S258" t="n">
        <x:v>509</x:v>
      </x:c>
      <x:c r="T258" s="18" t="n">
        <x:v>41.056111111111115</x:v>
      </x:c>
      <x:c r="U258" t="n">
        <x:v>29</x:v>
      </x:c>
      <x:c r="V258" t="n">
        <x:v>29</x:v>
      </x:c>
      <x:c r="W258" t="n">
        <x:v>10</x:v>
      </x:c>
      <x:c r="X258" s="18" t="n">
        <x:v>42.5</x:v>
      </x:c>
      <x:c r="Y258" s="18" t="n">
        <x:v>101.8</x:v>
      </x:c>
      <x:c r="Z258" s="18" t="n">
        <x:v>3.7142857142857144</x:v>
      </x:c>
      <x:c r="AA258" t="n">
        <x:v>0</x:v>
      </x:c>
    </x:row>
    <x:row r="259">
      <x:c r="A259" t="str">
        <x:v>A-bd4708</x:v>
      </x:c>
      <x:c r="B259" t="str">
        <x:v>Company_257</x:v>
      </x:c>
      <x:c r="C259" t="str">
        <x:v>FinTech</x:v>
      </x:c>
      <x:c r="D259" t="str">
        <x:v>US</x:v>
      </x:c>
      <x:c r="E259" s="14" t="n">
        <x:v>45494</x:v>
      </x:c>
      <x:c r="F259" t="str">
        <x:v>2024-07</x:v>
      </x:c>
      <x:c r="G259" t="str">
        <x:v>ads</x:v>
      </x:c>
      <x:c r="H259" t="str">
        <x:v>Pro</x:v>
      </x:c>
      <x:c r="I259" t="n">
        <x:v>37</x:v>
      </x:c>
      <x:c r="J259" s="1" t="b">
        <x:v>1</x:v>
      </x:c>
      <x:c r="K259" t="str">
        <x:v>Active</x:v>
      </x:c>
      <x:c r="L259" t="n">
        <x:v>163</x:v>
      </x:c>
      <x:c r="M259" t="str"/>
      <x:c r="N259" t="n">
        <x:v>0</x:v>
      </x:c>
      <x:c r="O259" t="n">
        <x:v>13</x:v>
      </x:c>
      <x:c r="P259" s="16" t="n">
        <x:v>38975</x:v>
      </x:c>
      <x:c r="Q259" t="n">
        <x:v>1</x:v>
      </x:c>
      <x:c r="R259" t="n">
        <x:v>0</x:v>
      </x:c>
      <x:c r="S259" t="n">
        <x:v>653</x:v>
      </x:c>
      <x:c r="T259" s="18" t="n">
        <x:v>56.0825</x:v>
      </x:c>
      <x:c r="U259" t="n">
        <x:v>30</x:v>
      </x:c>
      <x:c r="V259" t="n">
        <x:v>33</x:v>
      </x:c>
      <x:c r="W259" t="n">
        <x:v>4</x:v>
      </x:c>
      <x:c r="X259" s="18" t="n">
        <x:v>24</x:v>
      </x:c>
      <x:c r="Y259" s="18" t="n">
        <x:v>90.75</x:v>
      </x:c>
      <x:c r="Z259" s="18" t="n">
        <x:v>3.5</x:v>
      </x:c>
      <x:c r="AA259" t="n">
        <x:v>0</x:v>
      </x:c>
    </x:row>
    <x:row r="260">
      <x:c r="A260" t="str">
        <x:v>A-993085</x:v>
      </x:c>
      <x:c r="B260" t="str">
        <x:v>Company_258</x:v>
      </x:c>
      <x:c r="C260" t="str">
        <x:v>HealthTech</x:v>
      </x:c>
      <x:c r="D260" t="str">
        <x:v>US</x:v>
      </x:c>
      <x:c r="E260" s="14" t="n">
        <x:v>45078</x:v>
      </x:c>
      <x:c r="F260" t="str">
        <x:v>2023-06</x:v>
      </x:c>
      <x:c r="G260" t="str">
        <x:v>ads</x:v>
      </x:c>
      <x:c r="H260" t="str">
        <x:v>Basic</x:v>
      </x:c>
      <x:c r="I260" t="n">
        <x:v>31</x:v>
      </x:c>
      <x:c r="J260" s="1" t="b">
        <x:v>1</x:v>
      </x:c>
      <x:c r="K260" t="str">
        <x:v>Active</x:v>
      </x:c>
      <x:c r="L260" t="n">
        <x:v>579</x:v>
      </x:c>
      <x:c r="M260" t="str"/>
      <x:c r="N260" t="n">
        <x:v>2</x:v>
      </x:c>
      <x:c r="O260" t="n">
        <x:v>15</x:v>
      </x:c>
      <x:c r="P260" s="16" t="n">
        <x:v>40098</x:v>
      </x:c>
      <x:c r="Q260" t="n">
        <x:v>2</x:v>
      </x:c>
      <x:c r="R260" t="n">
        <x:v>2</x:v>
      </x:c>
      <x:c r="S260" t="n">
        <x:v>665</x:v>
      </x:c>
      <x:c r="T260" s="18" t="n">
        <x:v>60.00416666666667</x:v>
      </x:c>
      <x:c r="U260" t="n">
        <x:v>50</x:v>
      </x:c>
      <x:c r="V260" t="n">
        <x:v>33</x:v>
      </x:c>
      <x:c r="W260" t="n">
        <x:v>4</x:v>
      </x:c>
      <x:c r="X260" s="18" t="n">
        <x:v>46.5</x:v>
      </x:c>
      <x:c r="Y260" s="18" t="n">
        <x:v>82</x:v>
      </x:c>
      <x:c r="Z260" s="18" t="n">
        <x:v>3.5</x:v>
      </x:c>
      <x:c r="AA260" t="n">
        <x:v>0</x:v>
      </x:c>
    </x:row>
    <x:row r="261">
      <x:c r="A261" t="str">
        <x:v>A-92a3af</x:v>
      </x:c>
      <x:c r="B261" t="str">
        <x:v>Company_259</x:v>
      </x:c>
      <x:c r="C261" t="str">
        <x:v>Cybersecurity</x:v>
      </x:c>
      <x:c r="D261" t="str">
        <x:v>IN</x:v>
      </x:c>
      <x:c r="E261" s="14" t="n">
        <x:v>45480</x:v>
      </x:c>
      <x:c r="F261" t="str">
        <x:v>2024-07</x:v>
      </x:c>
      <x:c r="G261" t="str">
        <x:v>organic</x:v>
      </x:c>
      <x:c r="H261" t="str">
        <x:v>Enterprise</x:v>
      </x:c>
      <x:c r="I261" t="n">
        <x:v>25</x:v>
      </x:c>
      <x:c r="J261" s="1" t="b">
        <x:v>0</x:v>
      </x:c>
      <x:c r="K261" t="str">
        <x:v>Active</x:v>
      </x:c>
      <x:c r="L261" t="n">
        <x:v>177</x:v>
      </x:c>
      <x:c r="M261" t="str"/>
      <x:c r="N261" t="n">
        <x:v>0</x:v>
      </x:c>
      <x:c r="O261" t="n">
        <x:v>11</x:v>
      </x:c>
      <x:c r="P261" s="16" t="n">
        <x:v>34538</x:v>
      </x:c>
      <x:c r="Q261" t="n">
        <x:v>0</x:v>
      </x:c>
      <x:c r="R261" t="n">
        <x:v>2</x:v>
      </x:c>
      <x:c r="S261" t="n">
        <x:v>714</x:v>
      </x:c>
      <x:c r="T261" s="18" t="n">
        <x:v>60.60805555555555</x:v>
      </x:c>
      <x:c r="U261" t="n">
        <x:v>55</x:v>
      </x:c>
      <x:c r="V261" t="n">
        <x:v>35</x:v>
      </x:c>
      <x:c r="W261" t="n">
        <x:v>4</x:v>
      </x:c>
      <x:c r="X261" s="18" t="n">
        <x:v>57.5</x:v>
      </x:c>
      <x:c r="Y261" s="18" t="n">
        <x:v>39</x:v>
      </x:c>
      <x:c r="Z261" s="18" t="n">
        <x:v>4</x:v>
      </x:c>
      <x:c r="AA261" t="n">
        <x:v>1</x:v>
      </x:c>
    </x:row>
    <x:row r="262">
      <x:c r="A262" t="str">
        <x:v>A-151c9a</x:v>
      </x:c>
      <x:c r="B262" t="str">
        <x:v>Company_260</x:v>
      </x:c>
      <x:c r="C262" t="str">
        <x:v>FinTech</x:v>
      </x:c>
      <x:c r="D262" t="str">
        <x:v>US</x:v>
      </x:c>
      <x:c r="E262" s="14" t="n">
        <x:v>44953</x:v>
      </x:c>
      <x:c r="F262" t="str">
        <x:v>2023-01</x:v>
      </x:c>
      <x:c r="G262" t="str">
        <x:v>ads</x:v>
      </x:c>
      <x:c r="H262" t="str">
        <x:v>Enterprise</x:v>
      </x:c>
      <x:c r="I262" t="n">
        <x:v>23</x:v>
      </x:c>
      <x:c r="J262" s="1" t="b">
        <x:v>0</x:v>
      </x:c>
      <x:c r="K262" t="str">
        <x:v>Active</x:v>
      </x:c>
      <x:c r="L262" t="n">
        <x:v>704</x:v>
      </x:c>
      <x:c r="M262" t="str"/>
      <x:c r="N262" t="n">
        <x:v>1</x:v>
      </x:c>
      <x:c r="O262" t="n">
        <x:v>5</x:v>
      </x:c>
      <x:c r="P262" s="16" t="n">
        <x:v>14250</x:v>
      </x:c>
      <x:c r="Q262" t="n">
        <x:v>0</x:v>
      </x:c>
      <x:c r="R262" t="n">
        <x:v>1</x:v>
      </x:c>
      <x:c r="S262" t="n">
        <x:v>366</x:v>
      </x:c>
      <x:c r="T262" s="18" t="n">
        <x:v>33.585277777777776</x:v>
      </x:c>
      <x:c r="U262" t="n">
        <x:v>14</x:v>
      </x:c>
      <x:c r="V262" t="n">
        <x:v>28</x:v>
      </x:c>
      <x:c r="W262" t="n">
        <x:v>2</x:v>
      </x:c>
      <x:c r="X262" s="18" t="n">
        <x:v>31</x:v>
      </x:c>
      <x:c r="Y262" s="18" t="n">
        <x:v>156.5</x:v>
      </x:c>
      <x:c r="Z262" s="18" t="n">
        <x:v>3.5</x:v>
      </x:c>
      <x:c r="AA262" t="n">
        <x:v>0</x:v>
      </x:c>
    </x:row>
    <x:row r="263">
      <x:c r="A263" t="str">
        <x:v>A-474ad4</x:v>
      </x:c>
      <x:c r="B263" t="str">
        <x:v>Company_261</x:v>
      </x:c>
      <x:c r="C263" t="str">
        <x:v>EdTech</x:v>
      </x:c>
      <x:c r="D263" t="str">
        <x:v>US</x:v>
      </x:c>
      <x:c r="E263" s="14" t="n">
        <x:v>45258</x:v>
      </x:c>
      <x:c r="F263" t="str">
        <x:v>2023-11</x:v>
      </x:c>
      <x:c r="G263" t="str">
        <x:v>organic</x:v>
      </x:c>
      <x:c r="H263" t="str">
        <x:v>Basic</x:v>
      </x:c>
      <x:c r="I263" t="n">
        <x:v>8</x:v>
      </x:c>
      <x:c r="J263" s="1" t="b">
        <x:v>0</x:v>
      </x:c>
      <x:c r="K263" t="str">
        <x:v>Active</x:v>
      </x:c>
      <x:c r="L263" t="n">
        <x:v>399</x:v>
      </x:c>
      <x:c r="M263" t="str"/>
      <x:c r="N263" t="n">
        <x:v>0</x:v>
      </x:c>
      <x:c r="O263" t="n">
        <x:v>15</x:v>
      </x:c>
      <x:c r="P263" s="16" t="n">
        <x:v>10533</x:v>
      </x:c>
      <x:c r="Q263" t="n">
        <x:v>1</x:v>
      </x:c>
      <x:c r="R263" t="n">
        <x:v>1</x:v>
      </x:c>
      <x:c r="S263" t="n">
        <x:v>605</x:v>
      </x:c>
      <x:c r="T263" s="18" t="n">
        <x:v>50.93194444444445</x:v>
      </x:c>
      <x:c r="U263" t="n">
        <x:v>45</x:v>
      </x:c>
      <x:c r="V263" t="n">
        <x:v>34</x:v>
      </x:c>
      <x:c r="W263" t="n">
        <x:v>3</x:v>
      </x:c>
      <x:c r="X263" s="18" t="n">
        <x:v>33</x:v>
      </x:c>
      <x:c r="Y263" s="18" t="n">
        <x:v>50.666666666666664</x:v>
      </x:c>
      <x:c r="Z263" s="18" t="n">
        <x:v>5</x:v>
      </x:c>
      <x:c r="AA263" t="n">
        <x:v>1</x:v>
      </x:c>
    </x:row>
    <x:row r="264">
      <x:c r="A264" t="str">
        <x:v>A-4ef964</x:v>
      </x:c>
      <x:c r="B264" t="str">
        <x:v>Company_262</x:v>
      </x:c>
      <x:c r="C264" t="str">
        <x:v>HealthTech</x:v>
      </x:c>
      <x:c r="D264" t="str">
        <x:v>US</x:v>
      </x:c>
      <x:c r="E264" s="14" t="n">
        <x:v>45358</x:v>
      </x:c>
      <x:c r="F264" t="str">
        <x:v>2024-03</x:v>
      </x:c>
      <x:c r="G264" t="str">
        <x:v>organic</x:v>
      </x:c>
      <x:c r="H264" t="str">
        <x:v>Pro</x:v>
      </x:c>
      <x:c r="I264" t="n">
        <x:v>17</x:v>
      </x:c>
      <x:c r="J264" s="1" t="b">
        <x:v>0</x:v>
      </x:c>
      <x:c r="K264" t="str">
        <x:v>Active</x:v>
      </x:c>
      <x:c r="L264" t="n">
        <x:v>299</x:v>
      </x:c>
      <x:c r="M264" t="str"/>
      <x:c r="N264" t="n">
        <x:v>1</x:v>
      </x:c>
      <x:c r="O264" t="n">
        <x:v>9</x:v>
      </x:c>
      <x:c r="P264" s="16" t="n">
        <x:v>13557</x:v>
      </x:c>
      <x:c r="Q264" t="n">
        <x:v>0</x:v>
      </x:c>
      <x:c r="R264" t="n">
        <x:v>0</x:v>
      </x:c>
      <x:c r="S264" t="n">
        <x:v>487</x:v>
      </x:c>
      <x:c r="T264" s="18" t="n">
        <x:v>41.850833333333334</x:v>
      </x:c>
      <x:c r="U264" t="n">
        <x:v>33</x:v>
      </x:c>
      <x:c r="V264" t="n">
        <x:v>31</x:v>
      </x:c>
      <x:c r="W264" t="n">
        <x:v>3</x:v>
      </x:c>
      <x:c r="X264" s="18" t="n">
        <x:v>42.666666666666664</x:v>
      </x:c>
      <x:c r="Y264" s="18" t="n">
        <x:v>86.33333333333333</x:v>
      </x:c>
      <x:c r="Z264" s="18" t="n">
        <x:v>4</x:v>
      </x:c>
      <x:c r="AA264" t="n">
        <x:v>0</x:v>
      </x:c>
    </x:row>
    <x:row r="265">
      <x:c r="A265" t="str">
        <x:v>A-fd9422</x:v>
      </x:c>
      <x:c r="B265" t="str">
        <x:v>Company_263</x:v>
      </x:c>
      <x:c r="C265" t="str">
        <x:v>Cybersecurity</x:v>
      </x:c>
      <x:c r="D265" t="str">
        <x:v>US</x:v>
      </x:c>
      <x:c r="E265" s="14" t="n">
        <x:v>45386</x:v>
      </x:c>
      <x:c r="F265" t="str">
        <x:v>2024-04</x:v>
      </x:c>
      <x:c r="G265" t="str">
        <x:v>organic</x:v>
      </x:c>
      <x:c r="H265" t="str">
        <x:v>Pro</x:v>
      </x:c>
      <x:c r="I265" t="n">
        <x:v>58</x:v>
      </x:c>
      <x:c r="J265" s="1" t="b">
        <x:v>0</x:v>
      </x:c>
      <x:c r="K265" t="str">
        <x:v>Active</x:v>
      </x:c>
      <x:c r="L265" t="n">
        <x:v>271</x:v>
      </x:c>
      <x:c r="M265" t="str"/>
      <x:c r="N265" t="n">
        <x:v>0</x:v>
      </x:c>
      <x:c r="O265" t="n">
        <x:v>9</x:v>
      </x:c>
      <x:c r="P265" s="16" t="n">
        <x:v>27028</x:v>
      </x:c>
      <x:c r="Q265" t="n">
        <x:v>1</x:v>
      </x:c>
      <x:c r="R265" t="n">
        <x:v>1</x:v>
      </x:c>
      <x:c r="S265" t="n">
        <x:v>456</x:v>
      </x:c>
      <x:c r="T265" s="18" t="n">
        <x:v>39.80916666666667</x:v>
      </x:c>
      <x:c r="U265" t="n">
        <x:v>21</x:v>
      </x:c>
      <x:c r="V265" t="n">
        <x:v>27</x:v>
      </x:c>
      <x:c r="W265" t="n">
        <x:v>6</x:v>
      </x:c>
      <x:c r="X265" s="18" t="n">
        <x:v>44.333333333333336</x:v>
      </x:c>
      <x:c r="Y265" s="18" t="n">
        <x:v>116.83333333333333</x:v>
      </x:c>
      <x:c r="Z265" s="18" t="n">
        <x:v>3.5</x:v>
      </x:c>
      <x:c r="AA265" t="n">
        <x:v>1</x:v>
      </x:c>
    </x:row>
    <x:row r="266">
      <x:c r="A266" t="str">
        <x:v>A-0baac2</x:v>
      </x:c>
      <x:c r="B266" t="str">
        <x:v>Company_264</x:v>
      </x:c>
      <x:c r="C266" t="str">
        <x:v>FinTech</x:v>
      </x:c>
      <x:c r="D266" t="str">
        <x:v>DE</x:v>
      </x:c>
      <x:c r="E266" s="14" t="n">
        <x:v>45442</x:v>
      </x:c>
      <x:c r="F266" t="str">
        <x:v>2024-05</x:v>
      </x:c>
      <x:c r="G266" t="str">
        <x:v>organic</x:v>
      </x:c>
      <x:c r="H266" t="str">
        <x:v>Enterprise</x:v>
      </x:c>
      <x:c r="I266" t="n">
        <x:v>14</x:v>
      </x:c>
      <x:c r="J266" s="1" t="b">
        <x:v>0</x:v>
      </x:c>
      <x:c r="K266" t="str">
        <x:v>Churned</x:v>
      </x:c>
      <x:c r="L266" t="n">
        <x:v>208</x:v>
      </x:c>
      <x:c r="M266" t="str">
        <x:v>unknown</x:v>
      </x:c>
      <x:c r="N266" t="n">
        <x:v>4</x:v>
      </x:c>
      <x:c r="O266" t="n">
        <x:v>6</x:v>
      </x:c>
      <x:c r="P266" s="16" t="n">
        <x:v>9943</x:v>
      </x:c>
      <x:c r="Q266" t="n">
        <x:v>0</x:v>
      </x:c>
      <x:c r="R266" t="n">
        <x:v>0</x:v>
      </x:c>
      <x:c r="S266" t="n">
        <x:v>202</x:v>
      </x:c>
      <x:c r="T266" s="18" t="n">
        <x:v>20.3225</x:v>
      </x:c>
      <x:c r="U266" t="n">
        <x:v>9</x:v>
      </x:c>
      <x:c r="V266" t="n">
        <x:v>19</x:v>
      </x:c>
      <x:c r="W266" t="n">
        <x:v>6</x:v>
      </x:c>
      <x:c r="X266" s="18" t="n">
        <x:v>43.5</x:v>
      </x:c>
      <x:c r="Y266" s="18" t="n">
        <x:v>89</x:v>
      </x:c>
      <x:c r="Z266" s="18" t="n">
        <x:v>4.333333333333333</x:v>
      </x:c>
      <x:c r="AA266" t="n">
        <x:v>0</x:v>
      </x:c>
    </x:row>
    <x:row r="267">
      <x:c r="A267" t="str">
        <x:v>A-bb1486</x:v>
      </x:c>
      <x:c r="B267" t="str">
        <x:v>Company_265</x:v>
      </x:c>
      <x:c r="C267" t="str">
        <x:v>HealthTech</x:v>
      </x:c>
      <x:c r="D267" t="str">
        <x:v>US</x:v>
      </x:c>
      <x:c r="E267" s="14" t="n">
        <x:v>45601</x:v>
      </x:c>
      <x:c r="F267" t="str">
        <x:v>2024-11</x:v>
      </x:c>
      <x:c r="G267" t="str">
        <x:v>organic</x:v>
      </x:c>
      <x:c r="H267" t="str">
        <x:v>Basic</x:v>
      </x:c>
      <x:c r="I267" t="n">
        <x:v>41</x:v>
      </x:c>
      <x:c r="J267" s="1" t="b">
        <x:v>0</x:v>
      </x:c>
      <x:c r="K267" t="str">
        <x:v>Active</x:v>
      </x:c>
      <x:c r="L267" t="n">
        <x:v>56</x:v>
      </x:c>
      <x:c r="M267" t="str"/>
      <x:c r="N267" t="n">
        <x:v>2</x:v>
      </x:c>
      <x:c r="O267" t="n">
        <x:v>8</x:v>
      </x:c>
      <x:c r="P267" s="16" t="n">
        <x:v>15528</x:v>
      </x:c>
      <x:c r="Q267" t="n">
        <x:v>0</x:v>
      </x:c>
      <x:c r="R267" t="n">
        <x:v>2</x:v>
      </x:c>
      <x:c r="S267" t="n">
        <x:v>405</x:v>
      </x:c>
      <x:c r="T267" s="18" t="n">
        <x:v>33.040277777777774</x:v>
      </x:c>
      <x:c r="U267" t="n">
        <x:v>36</x:v>
      </x:c>
      <x:c r="V267" t="n">
        <x:v>24</x:v>
      </x:c>
      <x:c r="W267" t="n">
        <x:v>3</x:v>
      </x:c>
      <x:c r="X267" s="18" t="n">
        <x:v>11</x:v>
      </x:c>
      <x:c r="Y267" s="18" t="n">
        <x:v>78</x:v>
      </x:c>
      <x:c r="Z267" s="18" t="n">
        <x:v>3</x:v>
      </x:c>
      <x:c r="AA267" t="n">
        <x:v>0</x:v>
      </x:c>
    </x:row>
    <x:row r="268">
      <x:c r="A268" t="str">
        <x:v>A-560d27</x:v>
      </x:c>
      <x:c r="B268" t="str">
        <x:v>Company_266</x:v>
      </x:c>
      <x:c r="C268" t="str">
        <x:v>DevTools</x:v>
      </x:c>
      <x:c r="D268" t="str">
        <x:v>US</x:v>
      </x:c>
      <x:c r="E268" s="14" t="n">
        <x:v>45417</x:v>
      </x:c>
      <x:c r="F268" t="str">
        <x:v>2024-05</x:v>
      </x:c>
      <x:c r="G268" t="str">
        <x:v>organic</x:v>
      </x:c>
      <x:c r="H268" t="str">
        <x:v>Pro</x:v>
      </x:c>
      <x:c r="I268" t="n">
        <x:v>23</x:v>
      </x:c>
      <x:c r="J268" s="1" t="b">
        <x:v>0</x:v>
      </x:c>
      <x:c r="K268" t="str">
        <x:v>Active</x:v>
      </x:c>
      <x:c r="L268" t="n">
        <x:v>240</x:v>
      </x:c>
      <x:c r="M268" t="str"/>
      <x:c r="N268" t="n">
        <x:v>0</x:v>
      </x:c>
      <x:c r="O268" t="n">
        <x:v>12</x:v>
      </x:c>
      <x:c r="P268" s="16" t="n">
        <x:v>37064</x:v>
      </x:c>
      <x:c r="Q268" t="n">
        <x:v>1</x:v>
      </x:c>
      <x:c r="R268" t="n">
        <x:v>0</x:v>
      </x:c>
      <x:c r="S268" t="n">
        <x:v>587</x:v>
      </x:c>
      <x:c r="T268" s="18" t="n">
        <x:v>51.56</x:v>
      </x:c>
      <x:c r="U268" t="n">
        <x:v>38</x:v>
      </x:c>
      <x:c r="V268" t="n">
        <x:v>27</x:v>
      </x:c>
      <x:c r="W268" t="n">
        <x:v>4</x:v>
      </x:c>
      <x:c r="X268" s="18" t="n">
        <x:v>30.75</x:v>
      </x:c>
      <x:c r="Y268" s="18" t="n">
        <x:v>59.75</x:v>
      </x:c>
      <x:c r="Z268" s="18" t="n">
        <x:v>3.6666666666666665</x:v>
      </x:c>
      <x:c r="AA268" t="n">
        <x:v>0</x:v>
      </x:c>
    </x:row>
    <x:row r="269">
      <x:c r="A269" t="str">
        <x:v>A-0b0d6d</x:v>
      </x:c>
      <x:c r="B269" t="str">
        <x:v>Company_267</x:v>
      </x:c>
      <x:c r="C269" t="str">
        <x:v>DevTools</x:v>
      </x:c>
      <x:c r="D269" t="str">
        <x:v>US</x:v>
      </x:c>
      <x:c r="E269" s="14" t="n">
        <x:v>45656</x:v>
      </x:c>
      <x:c r="F269" t="str">
        <x:v>2024-12</x:v>
      </x:c>
      <x:c r="G269" t="str">
        <x:v>organic</x:v>
      </x:c>
      <x:c r="H269" t="str">
        <x:v>Pro</x:v>
      </x:c>
      <x:c r="I269" t="n">
        <x:v>3</x:v>
      </x:c>
      <x:c r="J269" s="1" t="b">
        <x:v>0</x:v>
      </x:c>
      <x:c r="K269" t="str">
        <x:v>Active</x:v>
      </x:c>
      <x:c r="L269" t="n">
        <x:v>1</x:v>
      </x:c>
      <x:c r="M269" t="str"/>
      <x:c r="N269" t="n">
        <x:v>1</x:v>
      </x:c>
      <x:c r="O269" t="n">
        <x:v>13</x:v>
      </x:c>
      <x:c r="P269" s="16" t="n">
        <x:v>30429</x:v>
      </x:c>
      <x:c r="Q269" t="n">
        <x:v>1</x:v>
      </x:c>
      <x:c r="R269" t="n">
        <x:v>0</x:v>
      </x:c>
      <x:c r="S269" t="n">
        <x:v>582</x:v>
      </x:c>
      <x:c r="T269" s="18" t="n">
        <x:v>45.11416666666667</x:v>
      </x:c>
      <x:c r="U269" t="n">
        <x:v>48</x:v>
      </x:c>
      <x:c r="V269" t="n">
        <x:v>32</x:v>
      </x:c>
      <x:c r="W269" t="n">
        <x:v>5</x:v>
      </x:c>
      <x:c r="X269" s="18" t="n">
        <x:v>31.4</x:v>
      </x:c>
      <x:c r="Y269" s="18" t="n">
        <x:v>90.4</x:v>
      </x:c>
      <x:c r="Z269" s="18" t="n">
        <x:v>4</x:v>
      </x:c>
      <x:c r="AA269" t="n">
        <x:v>1</x:v>
      </x:c>
    </x:row>
    <x:row r="270">
      <x:c r="A270" t="str">
        <x:v>A-2789e3</x:v>
      </x:c>
      <x:c r="B270" t="str">
        <x:v>Company_268</x:v>
      </x:c>
      <x:c r="C270" t="str">
        <x:v>FinTech</x:v>
      </x:c>
      <x:c r="D270" t="str">
        <x:v>US</x:v>
      </x:c>
      <x:c r="E270" s="14" t="n">
        <x:v>45549</x:v>
      </x:c>
      <x:c r="F270" t="str">
        <x:v>2024-09</x:v>
      </x:c>
      <x:c r="G270" t="str">
        <x:v>partner</x:v>
      </x:c>
      <x:c r="H270" t="str">
        <x:v>Enterprise</x:v>
      </x:c>
      <x:c r="I270" t="n">
        <x:v>11</x:v>
      </x:c>
      <x:c r="J270" s="1" t="b">
        <x:v>0</x:v>
      </x:c>
      <x:c r="K270" t="str">
        <x:v>Active</x:v>
      </x:c>
      <x:c r="L270" t="n">
        <x:v>108</x:v>
      </x:c>
      <x:c r="M270" t="str"/>
      <x:c r="N270" t="n">
        <x:v>0</x:v>
      </x:c>
      <x:c r="O270" t="n">
        <x:v>12</x:v>
      </x:c>
      <x:c r="P270" s="16" t="n">
        <x:v>24489</x:v>
      </x:c>
      <x:c r="Q270" t="n">
        <x:v>1</x:v>
      </x:c>
      <x:c r="R270" t="n">
        <x:v>1</x:v>
      </x:c>
      <x:c r="S270" t="n">
        <x:v>680</x:v>
      </x:c>
      <x:c r="T270" s="18" t="n">
        <x:v>57.18805555555556</x:v>
      </x:c>
      <x:c r="U270" t="n">
        <x:v>45</x:v>
      </x:c>
      <x:c r="V270" t="n">
        <x:v>33</x:v>
      </x:c>
      <x:c r="W270" t="n">
        <x:v>4</x:v>
      </x:c>
      <x:c r="X270" s="18" t="n">
        <x:v>47.25</x:v>
      </x:c>
      <x:c r="Y270" s="18" t="n">
        <x:v>83.25</x:v>
      </x:c>
      <x:c r="Z270" s="18" t="n">
        <x:v>4</x:v>
      </x:c>
      <x:c r="AA270" t="n">
        <x:v>0</x:v>
      </x:c>
    </x:row>
    <x:row r="271">
      <x:c r="A271" t="str">
        <x:v>A-b07346</x:v>
      </x:c>
      <x:c r="B271" t="str">
        <x:v>Company_269</x:v>
      </x:c>
      <x:c r="C271" t="str">
        <x:v>HealthTech</x:v>
      </x:c>
      <x:c r="D271" t="str">
        <x:v>US</x:v>
      </x:c>
      <x:c r="E271" s="14" t="n">
        <x:v>45575</x:v>
      </x:c>
      <x:c r="F271" t="str">
        <x:v>2024-10</x:v>
      </x:c>
      <x:c r="G271" t="str">
        <x:v>partner</x:v>
      </x:c>
      <x:c r="H271" t="str">
        <x:v>Pro</x:v>
      </x:c>
      <x:c r="I271" t="n">
        <x:v>51</x:v>
      </x:c>
      <x:c r="J271" s="1" t="b">
        <x:v>0</x:v>
      </x:c>
      <x:c r="K271" t="str">
        <x:v>Churned</x:v>
      </x:c>
      <x:c r="L271" t="n">
        <x:v>33</x:v>
      </x:c>
      <x:c r="M271" t="str">
        <x:v>budget</x:v>
      </x:c>
      <x:c r="N271" t="n">
        <x:v>1</x:v>
      </x:c>
      <x:c r="O271" t="n">
        <x:v>5</x:v>
      </x:c>
      <x:c r="P271" s="16" t="n">
        <x:v>31416</x:v>
      </x:c>
      <x:c r="Q271" t="n">
        <x:v>1</x:v>
      </x:c>
      <x:c r="R271" t="n">
        <x:v>0</x:v>
      </x:c>
      <x:c r="S271" t="n">
        <x:v>326</x:v>
      </x:c>
      <x:c r="T271" s="18" t="n">
        <x:v>29.70638888888889</x:v>
      </x:c>
      <x:c r="U271" t="n">
        <x:v>22</x:v>
      </x:c>
      <x:c r="V271" t="n">
        <x:v>23</x:v>
      </x:c>
      <x:c r="W271" t="n">
        <x:v>3</x:v>
      </x:c>
      <x:c r="X271" s="18" t="n">
        <x:v>42.333333333333336</x:v>
      </x:c>
      <x:c r="Y271" s="18" t="n">
        <x:v>76.66666666666667</x:v>
      </x:c>
      <x:c r="Z271" s="18" t="n">
        <x:v>3.5</x:v>
      </x:c>
      <x:c r="AA271" t="n">
        <x:v>0</x:v>
      </x:c>
    </x:row>
    <x:row r="272">
      <x:c r="A272" t="str">
        <x:v>A-902ef7</x:v>
      </x:c>
      <x:c r="B272" t="str">
        <x:v>Company_270</x:v>
      </x:c>
      <x:c r="C272" t="str">
        <x:v>HealthTech</x:v>
      </x:c>
      <x:c r="D272" t="str">
        <x:v>US</x:v>
      </x:c>
      <x:c r="E272" s="14" t="n">
        <x:v>45538</x:v>
      </x:c>
      <x:c r="F272" t="str">
        <x:v>2024-09</x:v>
      </x:c>
      <x:c r="G272" t="str">
        <x:v>other</x:v>
      </x:c>
      <x:c r="H272" t="str">
        <x:v>Enterprise</x:v>
      </x:c>
      <x:c r="I272" t="n">
        <x:v>83</x:v>
      </x:c>
      <x:c r="J272" s="1" t="b">
        <x:v>0</x:v>
      </x:c>
      <x:c r="K272" t="str">
        <x:v>Churned</x:v>
      </x:c>
      <x:c r="L272" t="n">
        <x:v>23</x:v>
      </x:c>
      <x:c r="M272" t="str">
        <x:v>pricing</x:v>
      </x:c>
      <x:c r="N272" t="n">
        <x:v>1</x:v>
      </x:c>
      <x:c r="O272" t="n">
        <x:v>8</x:v>
      </x:c>
      <x:c r="P272" s="16" t="n">
        <x:v>44322</x:v>
      </x:c>
      <x:c r="Q272" t="n">
        <x:v>2</x:v>
      </x:c>
      <x:c r="R272" t="n">
        <x:v>0</x:v>
      </x:c>
      <x:c r="S272" t="n">
        <x:v>414</x:v>
      </x:c>
      <x:c r="T272" s="18" t="n">
        <x:v>40.52166666666667</x:v>
      </x:c>
      <x:c r="U272" t="n">
        <x:v>24</x:v>
      </x:c>
      <x:c r="V272" t="n">
        <x:v>31</x:v>
      </x:c>
      <x:c r="W272" t="n">
        <x:v>2</x:v>
      </x:c>
      <x:c r="X272" s="18" t="n">
        <x:v>48.5</x:v>
      </x:c>
      <x:c r="Y272" s="18" t="n">
        <x:v>85</x:v>
      </x:c>
      <x:c r="Z272" s="18" t="n">
        <x:v>4</x:v>
      </x:c>
      <x:c r="AA272" t="n">
        <x:v>0</x:v>
      </x:c>
    </x:row>
    <x:row r="273">
      <x:c r="A273" t="str">
        <x:v>A-20736a</x:v>
      </x:c>
      <x:c r="B273" t="str">
        <x:v>Company_271</x:v>
      </x:c>
      <x:c r="C273" t="str">
        <x:v>EdTech</x:v>
      </x:c>
      <x:c r="D273" t="str">
        <x:v>IN</x:v>
      </x:c>
      <x:c r="E273" s="14" t="n">
        <x:v>45367</x:v>
      </x:c>
      <x:c r="F273" t="str">
        <x:v>2024-03</x:v>
      </x:c>
      <x:c r="G273" t="str">
        <x:v>organic</x:v>
      </x:c>
      <x:c r="H273" t="str">
        <x:v>Enterprise</x:v>
      </x:c>
      <x:c r="I273" t="n">
        <x:v>50</x:v>
      </x:c>
      <x:c r="J273" s="1" t="b">
        <x:v>0</x:v>
      </x:c>
      <x:c r="K273" t="str">
        <x:v>Active</x:v>
      </x:c>
      <x:c r="L273" t="n">
        <x:v>290</x:v>
      </x:c>
      <x:c r="M273" t="str"/>
      <x:c r="N273" t="n">
        <x:v>1</x:v>
      </x:c>
      <x:c r="O273" t="n">
        <x:v>7</x:v>
      </x:c>
      <x:c r="P273" s="16" t="n">
        <x:v>40525</x:v>
      </x:c>
      <x:c r="Q273" t="n">
        <x:v>1</x:v>
      </x:c>
      <x:c r="R273" t="n">
        <x:v>1</x:v>
      </x:c>
      <x:c r="S273" t="n">
        <x:v>430</x:v>
      </x:c>
      <x:c r="T273" s="18" t="n">
        <x:v>30.113333333333333</x:v>
      </x:c>
      <x:c r="U273" t="n">
        <x:v>22</x:v>
      </x:c>
      <x:c r="V273" t="n">
        <x:v>22</x:v>
      </x:c>
      <x:c r="W273" t="n">
        <x:v>4</x:v>
      </x:c>
      <x:c r="X273" s="18" t="n">
        <x:v>42.25</x:v>
      </x:c>
      <x:c r="Y273" s="18" t="n">
        <x:v>78.25</x:v>
      </x:c>
      <x:c r="Z273" s="18" t="n">
        <x:v>3.75</x:v>
      </x:c>
      <x:c r="AA273" t="n">
        <x:v>0</x:v>
      </x:c>
    </x:row>
    <x:row r="274">
      <x:c r="A274" t="str">
        <x:v>A-e4bf56</x:v>
      </x:c>
      <x:c r="B274" t="str">
        <x:v>Company_272</x:v>
      </x:c>
      <x:c r="C274" t="str">
        <x:v>HealthTech</x:v>
      </x:c>
      <x:c r="D274" t="str">
        <x:v>IN</x:v>
      </x:c>
      <x:c r="E274" s="14" t="n">
        <x:v>45593</x:v>
      </x:c>
      <x:c r="F274" t="str">
        <x:v>2024-10</x:v>
      </x:c>
      <x:c r="G274" t="str">
        <x:v>ads</x:v>
      </x:c>
      <x:c r="H274" t="str">
        <x:v>Pro</x:v>
      </x:c>
      <x:c r="I274" t="n">
        <x:v>17</x:v>
      </x:c>
      <x:c r="J274" s="1" t="b">
        <x:v>0</x:v>
      </x:c>
      <x:c r="K274" t="str">
        <x:v>Churned</x:v>
      </x:c>
      <x:c r="L274" t="n">
        <x:v>64</x:v>
      </x:c>
      <x:c r="M274" t="str"/>
      <x:c r="N274" t="n">
        <x:v>0</x:v>
      </x:c>
      <x:c r="O274" t="n">
        <x:v>7</x:v>
      </x:c>
      <x:c r="P274" s="16" t="n">
        <x:v>11563</x:v>
      </x:c>
      <x:c r="Q274" t="n">
        <x:v>0</x:v>
      </x:c>
      <x:c r="R274" t="n">
        <x:v>1</x:v>
      </x:c>
      <x:c r="S274" t="n">
        <x:v>339</x:v>
      </x:c>
      <x:c r="T274" s="18" t="n">
        <x:v>32.08</x:v>
      </x:c>
      <x:c r="U274" t="n">
        <x:v>10</x:v>
      </x:c>
      <x:c r="V274" t="n">
        <x:v>25</x:v>
      </x:c>
      <x:c r="W274" t="n">
        <x:v>8</x:v>
      </x:c>
      <x:c r="X274" s="18" t="n">
        <x:v>29.125</x:v>
      </x:c>
      <x:c r="Y274" s="18" t="n">
        <x:v>111.5</x:v>
      </x:c>
      <x:c r="Z274" s="18" t="n">
        <x:v>3.6666666666666665</x:v>
      </x:c>
      <x:c r="AA274" t="n">
        <x:v>0</x:v>
      </x:c>
    </x:row>
    <x:row r="275">
      <x:c r="A275" t="str">
        <x:v>A-cea1f0</x:v>
      </x:c>
      <x:c r="B275" t="str">
        <x:v>Company_273</x:v>
      </x:c>
      <x:c r="C275" t="str">
        <x:v>FinTech</x:v>
      </x:c>
      <x:c r="D275" t="str">
        <x:v>US</x:v>
      </x:c>
      <x:c r="E275" s="14" t="n">
        <x:v>45389</x:v>
      </x:c>
      <x:c r="F275" t="str">
        <x:v>2024-04</x:v>
      </x:c>
      <x:c r="G275" t="str">
        <x:v>event</x:v>
      </x:c>
      <x:c r="H275" t="str">
        <x:v>Pro</x:v>
      </x:c>
      <x:c r="I275" t="n">
        <x:v>8</x:v>
      </x:c>
      <x:c r="J275" s="1" t="b">
        <x:v>0</x:v>
      </x:c>
      <x:c r="K275" t="str">
        <x:v>Churned</x:v>
      </x:c>
      <x:c r="L275" t="n">
        <x:v>268</x:v>
      </x:c>
      <x:c r="M275" t="str"/>
      <x:c r="N275" t="n">
        <x:v>0</x:v>
      </x:c>
      <x:c r="O275" t="n">
        <x:v>10</x:v>
      </x:c>
      <x:c r="P275" s="16" t="n">
        <x:v>12244</x:v>
      </x:c>
      <x:c r="Q275" t="n">
        <x:v>1</x:v>
      </x:c>
      <x:c r="R275" t="n">
        <x:v>1</x:v>
      </x:c>
      <x:c r="S275" t="n">
        <x:v>586</x:v>
      </x:c>
      <x:c r="T275" s="18" t="n">
        <x:v>44.77444444444444</x:v>
      </x:c>
      <x:c r="U275" t="n">
        <x:v>28</x:v>
      </x:c>
      <x:c r="V275" t="n">
        <x:v>28</x:v>
      </x:c>
      <x:c r="W275" t="n">
        <x:v>5</x:v>
      </x:c>
      <x:c r="X275" s="18" t="n">
        <x:v>42.2</x:v>
      </x:c>
      <x:c r="Y275" s="18" t="n">
        <x:v>107.4</x:v>
      </x:c>
      <x:c r="Z275" s="18" t="n">
        <x:v>4.333333333333333</x:v>
      </x:c>
      <x:c r="AA275" t="n">
        <x:v>0</x:v>
      </x:c>
    </x:row>
    <x:row r="276">
      <x:c r="A276" t="str">
        <x:v>A-ef84cf</x:v>
      </x:c>
      <x:c r="B276" t="str">
        <x:v>Company_274</x:v>
      </x:c>
      <x:c r="C276" t="str">
        <x:v>EdTech</x:v>
      </x:c>
      <x:c r="D276" t="str">
        <x:v>US</x:v>
      </x:c>
      <x:c r="E276" s="14" t="n">
        <x:v>45352</x:v>
      </x:c>
      <x:c r="F276" t="str">
        <x:v>2024-03</x:v>
      </x:c>
      <x:c r="G276" t="str">
        <x:v>partner</x:v>
      </x:c>
      <x:c r="H276" t="str">
        <x:v>Enterprise</x:v>
      </x:c>
      <x:c r="I276" t="n">
        <x:v>8</x:v>
      </x:c>
      <x:c r="J276" s="1" t="b">
        <x:v>0</x:v>
      </x:c>
      <x:c r="K276" t="str">
        <x:v>Active</x:v>
      </x:c>
      <x:c r="L276" t="n">
        <x:v>305</x:v>
      </x:c>
      <x:c r="M276" t="str"/>
      <x:c r="N276" t="n">
        <x:v>3</x:v>
      </x:c>
      <x:c r="O276" t="n">
        <x:v>5</x:v>
      </x:c>
      <x:c r="P276" s="16" t="n">
        <x:v>7355</x:v>
      </x:c>
      <x:c r="Q276" t="n">
        <x:v>0</x:v>
      </x:c>
      <x:c r="R276" t="n">
        <x:v>1</x:v>
      </x:c>
      <x:c r="S276" t="n">
        <x:v>309</x:v>
      </x:c>
      <x:c r="T276" s="18" t="n">
        <x:v>27.894444444444446</x:v>
      </x:c>
      <x:c r="U276" t="n">
        <x:v>11</x:v>
      </x:c>
      <x:c r="V276" t="n">
        <x:v>21</x:v>
      </x:c>
      <x:c r="W276" t="n">
        <x:v>5</x:v>
      </x:c>
      <x:c r="X276" s="18" t="n">
        <x:v>34.8</x:v>
      </x:c>
      <x:c r="Y276" s="18" t="n">
        <x:v>79.4</x:v>
      </x:c>
      <x:c r="Z276" s="18" t="n">
        <x:v>4.333333333333333</x:v>
      </x:c>
      <x:c r="AA276" t="n">
        <x:v>1</x:v>
      </x:c>
    </x:row>
    <x:row r="277">
      <x:c r="A277" t="str">
        <x:v>A-d49cc5</x:v>
      </x:c>
      <x:c r="B277" t="str">
        <x:v>Company_275</x:v>
      </x:c>
      <x:c r="C277" t="str">
        <x:v>Cybersecurity</x:v>
      </x:c>
      <x:c r="D277" t="str">
        <x:v>FR</x:v>
      </x:c>
      <x:c r="E277" s="14" t="n">
        <x:v>45188</x:v>
      </x:c>
      <x:c r="F277" t="str">
        <x:v>2023-09</x:v>
      </x:c>
      <x:c r="G277" t="str">
        <x:v>event</x:v>
      </x:c>
      <x:c r="H277" t="str">
        <x:v>Basic</x:v>
      </x:c>
      <x:c r="I277" t="n">
        <x:v>50</x:v>
      </x:c>
      <x:c r="J277" s="1" t="b">
        <x:v>0</x:v>
      </x:c>
      <x:c r="K277" t="str">
        <x:v>Active</x:v>
      </x:c>
      <x:c r="L277" t="n">
        <x:v>469</x:v>
      </x:c>
      <x:c r="M277" t="str"/>
      <x:c r="N277" t="n">
        <x:v>1</x:v>
      </x:c>
      <x:c r="O277" t="n">
        <x:v>8</x:v>
      </x:c>
      <x:c r="P277" s="16" t="n">
        <x:v>13325</x:v>
      </x:c>
      <x:c r="Q277" t="n">
        <x:v>0</x:v>
      </x:c>
      <x:c r="R277" t="n">
        <x:v>0</x:v>
      </x:c>
      <x:c r="S277" t="n">
        <x:v>436</x:v>
      </x:c>
      <x:c r="T277" s="18" t="n">
        <x:v>39.70361111111111</x:v>
      </x:c>
      <x:c r="U277" t="n">
        <x:v>34</x:v>
      </x:c>
      <x:c r="V277" t="n">
        <x:v>27</x:v>
      </x:c>
      <x:c r="W277" t="n">
        <x:v>4</x:v>
      </x:c>
      <x:c r="X277" s="18" t="n">
        <x:v>32</x:v>
      </x:c>
      <x:c r="Y277" s="18" t="n">
        <x:v>55.25</x:v>
      </x:c>
      <x:c r="Z277" s="18" t="n">
        <x:v>4.5</x:v>
      </x:c>
      <x:c r="AA277" t="n">
        <x:v>0</x:v>
      </x:c>
    </x:row>
    <x:row r="278">
      <x:c r="A278" t="str">
        <x:v>A-67be94</x:v>
      </x:c>
      <x:c r="B278" t="str">
        <x:v>Company_276</x:v>
      </x:c>
      <x:c r="C278" t="str">
        <x:v>EdTech</x:v>
      </x:c>
      <x:c r="D278" t="str">
        <x:v>US</x:v>
      </x:c>
      <x:c r="E278" s="14" t="n">
        <x:v>45020</x:v>
      </x:c>
      <x:c r="F278" t="str">
        <x:v>2023-04</x:v>
      </x:c>
      <x:c r="G278" t="str">
        <x:v>organic</x:v>
      </x:c>
      <x:c r="H278" t="str">
        <x:v>Enterprise</x:v>
      </x:c>
      <x:c r="I278" t="n">
        <x:v>26</x:v>
      </x:c>
      <x:c r="J278" s="1" t="b">
        <x:v>0</x:v>
      </x:c>
      <x:c r="K278" t="str">
        <x:v>Active</x:v>
      </x:c>
      <x:c r="L278" t="n">
        <x:v>637</x:v>
      </x:c>
      <x:c r="M278" t="str"/>
      <x:c r="N278" t="n">
        <x:v>2</x:v>
      </x:c>
      <x:c r="O278" t="n">
        <x:v>7</x:v>
      </x:c>
      <x:c r="P278" s="16" t="n">
        <x:v>14567</x:v>
      </x:c>
      <x:c r="Q278" t="n">
        <x:v>1</x:v>
      </x:c>
      <x:c r="R278" t="n">
        <x:v>0</x:v>
      </x:c>
      <x:c r="S278" t="n">
        <x:v>416</x:v>
      </x:c>
      <x:c r="T278" s="18" t="n">
        <x:v>35.3325</x:v>
      </x:c>
      <x:c r="U278" t="n">
        <x:v>17</x:v>
      </x:c>
      <x:c r="V278" t="n">
        <x:v>26</x:v>
      </x:c>
      <x:c r="W278" t="n">
        <x:v>5</x:v>
      </x:c>
      <x:c r="X278" s="18" t="n">
        <x:v>38.6</x:v>
      </x:c>
      <x:c r="Y278" s="18" t="n">
        <x:v>51</x:v>
      </x:c>
      <x:c r="Z278" s="18" t="n">
        <x:v>4</x:v>
      </x:c>
      <x:c r="AA278" t="n">
        <x:v>0</x:v>
      </x:c>
    </x:row>
    <x:row r="279">
      <x:c r="A279" t="str">
        <x:v>A-4e960a</x:v>
      </x:c>
      <x:c r="B279" t="str">
        <x:v>Company_277</x:v>
      </x:c>
      <x:c r="C279" t="str">
        <x:v>FinTech</x:v>
      </x:c>
      <x:c r="D279" t="str">
        <x:v>US</x:v>
      </x:c>
      <x:c r="E279" s="14" t="n">
        <x:v>45308</x:v>
      </x:c>
      <x:c r="F279" t="str">
        <x:v>2024-01</x:v>
      </x:c>
      <x:c r="G279" t="str">
        <x:v>other</x:v>
      </x:c>
      <x:c r="H279" t="str">
        <x:v>Enterprise</x:v>
      </x:c>
      <x:c r="I279" t="n">
        <x:v>12</x:v>
      </x:c>
      <x:c r="J279" s="1" t="b">
        <x:v>1</x:v>
      </x:c>
      <x:c r="K279" t="str">
        <x:v>Churned</x:v>
      </x:c>
      <x:c r="L279" t="n">
        <x:v>349</x:v>
      </x:c>
      <x:c r="M279" t="str"/>
      <x:c r="N279" t="n">
        <x:v>0</x:v>
      </x:c>
      <x:c r="O279" t="n">
        <x:v>12</x:v>
      </x:c>
      <x:c r="P279" s="16" t="n">
        <x:v>23942</x:v>
      </x:c>
      <x:c r="Q279" t="n">
        <x:v>0</x:v>
      </x:c>
      <x:c r="R279" t="n">
        <x:v>1</x:v>
      </x:c>
      <x:c r="S279" t="n">
        <x:v>512</x:v>
      </x:c>
      <x:c r="T279" s="18" t="n">
        <x:v>42.761944444444445</x:v>
      </x:c>
      <x:c r="U279" t="n">
        <x:v>21</x:v>
      </x:c>
      <x:c r="V279" t="n">
        <x:v>29</x:v>
      </x:c>
      <x:c r="W279" t="n">
        <x:v>6</x:v>
      </x:c>
      <x:c r="X279" s="18" t="n">
        <x:v>29.166666666666668</x:v>
      </x:c>
      <x:c r="Y279" s="18" t="n">
        <x:v>83.16666666666667</x:v>
      </x:c>
      <x:c r="Z279" s="18" t="n">
        <x:v>4</x:v>
      </x:c>
      <x:c r="AA279" t="n">
        <x:v>0</x:v>
      </x:c>
    </x:row>
    <x:row r="280">
      <x:c r="A280" t="str">
        <x:v>A-c37cab</x:v>
      </x:c>
      <x:c r="B280" t="str">
        <x:v>Company_278</x:v>
      </x:c>
      <x:c r="C280" t="str">
        <x:v>Cybersecurity</x:v>
      </x:c>
      <x:c r="D280" t="str">
        <x:v>UK</x:v>
      </x:c>
      <x:c r="E280" s="14" t="n">
        <x:v>45502</x:v>
      </x:c>
      <x:c r="F280" t="str">
        <x:v>2024-07</x:v>
      </x:c>
      <x:c r="G280" t="str">
        <x:v>event</x:v>
      </x:c>
      <x:c r="H280" t="str">
        <x:v>Pro</x:v>
      </x:c>
      <x:c r="I280" t="n">
        <x:v>13</x:v>
      </x:c>
      <x:c r="J280" s="1" t="b">
        <x:v>0</x:v>
      </x:c>
      <x:c r="K280" t="str">
        <x:v>Active</x:v>
      </x:c>
      <x:c r="L280" t="n">
        <x:v>155</x:v>
      </x:c>
      <x:c r="M280" t="str"/>
      <x:c r="N280" t="n">
        <x:v>2</x:v>
      </x:c>
      <x:c r="O280" t="n">
        <x:v>12</x:v>
      </x:c>
      <x:c r="P280" s="16" t="n">
        <x:v>9931</x:v>
      </x:c>
      <x:c r="Q280" t="n">
        <x:v>1</x:v>
      </x:c>
      <x:c r="R280" t="n">
        <x:v>1</x:v>
      </x:c>
      <x:c r="S280" t="n">
        <x:v>708</x:v>
      </x:c>
      <x:c r="T280" s="18" t="n">
        <x:v>56.47472222222222</x:v>
      </x:c>
      <x:c r="U280" t="n">
        <x:v>40</x:v>
      </x:c>
      <x:c r="V280" t="n">
        <x:v>32</x:v>
      </x:c>
      <x:c r="W280" t="n">
        <x:v>4</x:v>
      </x:c>
      <x:c r="X280" s="18" t="n">
        <x:v>33</x:v>
      </x:c>
      <x:c r="Y280" s="18" t="n">
        <x:v>101.25</x:v>
      </x:c>
      <x:c r="Z280" s="18" t="n">
        <x:v>3.75</x:v>
      </x:c>
      <x:c r="AA280" t="n">
        <x:v>1</x:v>
      </x:c>
    </x:row>
    <x:row r="281">
      <x:c r="A281" t="str">
        <x:v>A-533452</x:v>
      </x:c>
      <x:c r="B281" t="str">
        <x:v>Company_279</x:v>
      </x:c>
      <x:c r="C281" t="str">
        <x:v>DevTools</x:v>
      </x:c>
      <x:c r="D281" t="str">
        <x:v>AU</x:v>
      </x:c>
      <x:c r="E281" s="14" t="n">
        <x:v>45608</x:v>
      </x:c>
      <x:c r="F281" t="str">
        <x:v>2024-11</x:v>
      </x:c>
      <x:c r="G281" t="str">
        <x:v>organic</x:v>
      </x:c>
      <x:c r="H281" t="str">
        <x:v>Pro</x:v>
      </x:c>
      <x:c r="I281" t="n">
        <x:v>9</x:v>
      </x:c>
      <x:c r="J281" s="1" t="b">
        <x:v>0</x:v>
      </x:c>
      <x:c r="K281" t="str">
        <x:v>Active</x:v>
      </x:c>
      <x:c r="L281" t="n">
        <x:v>49</x:v>
      </x:c>
      <x:c r="M281" t="str"/>
      <x:c r="N281" t="n">
        <x:v>4</x:v>
      </x:c>
      <x:c r="O281" t="n">
        <x:v>11</x:v>
      </x:c>
      <x:c r="P281" s="16" t="n">
        <x:v>20223</x:v>
      </x:c>
      <x:c r="Q281" t="n">
        <x:v>1</x:v>
      </x:c>
      <x:c r="R281" t="n">
        <x:v>2</x:v>
      </x:c>
      <x:c r="S281" t="n">
        <x:v>595</x:v>
      </x:c>
      <x:c r="T281" s="18" t="n">
        <x:v>47.97944444444445</x:v>
      </x:c>
      <x:c r="U281" t="n">
        <x:v>44</x:v>
      </x:c>
      <x:c r="V281" t="n">
        <x:v>32</x:v>
      </x:c>
      <x:c r="W281" t="n">
        <x:v>4</x:v>
      </x:c>
      <x:c r="X281" s="18" t="n">
        <x:v>32.75</x:v>
      </x:c>
      <x:c r="Y281" s="18" t="n">
        <x:v>35.5</x:v>
      </x:c>
      <x:c r="Z281" s="18" t="n">
        <x:v>4</x:v>
      </x:c>
      <x:c r="AA281" t="n">
        <x:v>0</x:v>
      </x:c>
    </x:row>
    <x:row r="282">
      <x:c r="A282" t="str">
        <x:v>A-443b7c</x:v>
      </x:c>
      <x:c r="B282" t="str">
        <x:v>Company_280</x:v>
      </x:c>
      <x:c r="C282" t="str">
        <x:v>Cybersecurity</x:v>
      </x:c>
      <x:c r="D282" t="str">
        <x:v>US</x:v>
      </x:c>
      <x:c r="E282" s="14" t="n">
        <x:v>45541</x:v>
      </x:c>
      <x:c r="F282" t="str">
        <x:v>2024-09</x:v>
      </x:c>
      <x:c r="G282" t="str">
        <x:v>other</x:v>
      </x:c>
      <x:c r="H282" t="str">
        <x:v>Enterprise</x:v>
      </x:c>
      <x:c r="I282" t="n">
        <x:v>1</x:v>
      </x:c>
      <x:c r="J282" s="1" t="b">
        <x:v>0</x:v>
      </x:c>
      <x:c r="K282" t="str">
        <x:v>Churned</x:v>
      </x:c>
      <x:c r="L282" t="n">
        <x:v>116</x:v>
      </x:c>
      <x:c r="M282" t="str"/>
      <x:c r="N282" t="n">
        <x:v>0</x:v>
      </x:c>
      <x:c r="O282" t="n">
        <x:v>16</x:v>
      </x:c>
      <x:c r="P282" s="16" t="n">
        <x:v>23739</x:v>
      </x:c>
      <x:c r="Q282" t="n">
        <x:v>4</x:v>
      </x:c>
      <x:c r="R282" t="n">
        <x:v>0</x:v>
      </x:c>
      <x:c r="S282" t="n">
        <x:v>618</x:v>
      </x:c>
      <x:c r="T282" s="18" t="n">
        <x:v>54.1775</x:v>
      </x:c>
      <x:c r="U282" t="n">
        <x:v>29</x:v>
      </x:c>
      <x:c r="V282" t="n">
        <x:v>28</x:v>
      </x:c>
      <x:c r="W282" t="n">
        <x:v>8</x:v>
      </x:c>
      <x:c r="X282" s="18" t="n">
        <x:v>29.25</x:v>
      </x:c>
      <x:c r="Y282" s="18" t="n">
        <x:v>49</x:v>
      </x:c>
      <x:c r="Z282" s="18" t="n">
        <x:v>4.4</x:v>
      </x:c>
      <x:c r="AA282" t="n">
        <x:v>0</x:v>
      </x:c>
    </x:row>
    <x:row r="283">
      <x:c r="A283" t="str">
        <x:v>A-1f7acb</x:v>
      </x:c>
      <x:c r="B283" t="str">
        <x:v>Company_281</x:v>
      </x:c>
      <x:c r="C283" t="str">
        <x:v>FinTech</x:v>
      </x:c>
      <x:c r="D283" t="str">
        <x:v>UK</x:v>
      </x:c>
      <x:c r="E283" s="14" t="n">
        <x:v>45144</x:v>
      </x:c>
      <x:c r="F283" t="str">
        <x:v>2023-08</x:v>
      </x:c>
      <x:c r="G283" t="str">
        <x:v>ads</x:v>
      </x:c>
      <x:c r="H283" t="str">
        <x:v>Basic</x:v>
      </x:c>
      <x:c r="I283" t="n">
        <x:v>64</x:v>
      </x:c>
      <x:c r="J283" s="1" t="b">
        <x:v>1</x:v>
      </x:c>
      <x:c r="K283" t="str">
        <x:v>Active</x:v>
      </x:c>
      <x:c r="L283" t="n">
        <x:v>513</x:v>
      </x:c>
      <x:c r="M283" t="str"/>
      <x:c r="N283" t="n">
        <x:v>0</x:v>
      </x:c>
      <x:c r="O283" t="n">
        <x:v>8</x:v>
      </x:c>
      <x:c r="P283" s="16" t="n">
        <x:v>46912</x:v>
      </x:c>
      <x:c r="Q283" t="n">
        <x:v>1</x:v>
      </x:c>
      <x:c r="R283" t="n">
        <x:v>3</x:v>
      </x:c>
      <x:c r="S283" t="n">
        <x:v>510</x:v>
      </x:c>
      <x:c r="T283" s="18" t="n">
        <x:v>45.574444444444445</x:v>
      </x:c>
      <x:c r="U283" t="n">
        <x:v>47</x:v>
      </x:c>
      <x:c r="V283" t="n">
        <x:v>26</x:v>
      </x:c>
      <x:c r="W283" t="n">
        <x:v>7</x:v>
      </x:c>
      <x:c r="X283" s="18" t="n">
        <x:v>41.714285714285715</x:v>
      </x:c>
      <x:c r="Y283" s="18" t="n">
        <x:v>129.57142857142858</x:v>
      </x:c>
      <x:c r="Z283" s="18" t="n">
        <x:v>4.4</x:v>
      </x:c>
      <x:c r="AA283" t="n">
        <x:v>0</x:v>
      </x:c>
    </x:row>
    <x:row r="284">
      <x:c r="A284" t="str">
        <x:v>A-f51f16</x:v>
      </x:c>
      <x:c r="B284" t="str">
        <x:v>Company_282</x:v>
      </x:c>
      <x:c r="C284" t="str">
        <x:v>HealthTech</x:v>
      </x:c>
      <x:c r="D284" t="str">
        <x:v>US</x:v>
      </x:c>
      <x:c r="E284" s="14" t="n">
        <x:v>45285</x:v>
      </x:c>
      <x:c r="F284" t="str">
        <x:v>2023-12</x:v>
      </x:c>
      <x:c r="G284" t="str">
        <x:v>partner</x:v>
      </x:c>
      <x:c r="H284" t="str">
        <x:v>Enterprise</x:v>
      </x:c>
      <x:c r="I284" t="n">
        <x:v>1</x:v>
      </x:c>
      <x:c r="J284" s="1" t="b">
        <x:v>0</x:v>
      </x:c>
      <x:c r="K284" t="str">
        <x:v>Active</x:v>
      </x:c>
      <x:c r="L284" t="n">
        <x:v>372</x:v>
      </x:c>
      <x:c r="M284" t="str"/>
      <x:c r="N284" t="n">
        <x:v>2</x:v>
      </x:c>
      <x:c r="O284" t="n">
        <x:v>8</x:v>
      </x:c>
      <x:c r="P284" s="16" t="n">
        <x:v>13261</x:v>
      </x:c>
      <x:c r="Q284" t="n">
        <x:v>2</x:v>
      </x:c>
      <x:c r="R284" t="n">
        <x:v>0</x:v>
      </x:c>
      <x:c r="S284" t="n">
        <x:v>384</x:v>
      </x:c>
      <x:c r="T284" s="18" t="n">
        <x:v>40.58138888888889</x:v>
      </x:c>
      <x:c r="U284" t="n">
        <x:v>28</x:v>
      </x:c>
      <x:c r="V284" t="n">
        <x:v>25</x:v>
      </x:c>
      <x:c r="W284" t="n">
        <x:v>4</x:v>
      </x:c>
      <x:c r="X284" s="18" t="n">
        <x:v>29.25</x:v>
      </x:c>
      <x:c r="Y284" s="18" t="n">
        <x:v>91</x:v>
      </x:c>
      <x:c r="Z284" s="18" t="n">
        <x:v>3</x:v>
      </x:c>
      <x:c r="AA284" t="n">
        <x:v>0</x:v>
      </x:c>
    </x:row>
    <x:row r="285">
      <x:c r="A285" t="str">
        <x:v>A-5a3eb9</x:v>
      </x:c>
      <x:c r="B285" t="str">
        <x:v>Company_283</x:v>
      </x:c>
      <x:c r="C285" t="str">
        <x:v>DevTools</x:v>
      </x:c>
      <x:c r="D285" t="str">
        <x:v>CA</x:v>
      </x:c>
      <x:c r="E285" s="14" t="n">
        <x:v>45158</x:v>
      </x:c>
      <x:c r="F285" t="str">
        <x:v>2023-08</x:v>
      </x:c>
      <x:c r="G285" t="str">
        <x:v>other</x:v>
      </x:c>
      <x:c r="H285" t="str">
        <x:v>Enterprise</x:v>
      </x:c>
      <x:c r="I285" t="n">
        <x:v>18</x:v>
      </x:c>
      <x:c r="J285" s="1" t="b">
        <x:v>1</x:v>
      </x:c>
      <x:c r="K285" t="str">
        <x:v>Active</x:v>
      </x:c>
      <x:c r="L285" t="n">
        <x:v>499</x:v>
      </x:c>
      <x:c r="M285" t="str"/>
      <x:c r="N285" t="n">
        <x:v>3</x:v>
      </x:c>
      <x:c r="O285" t="n">
        <x:v>13</x:v>
      </x:c>
      <x:c r="P285" s="16" t="n">
        <x:v>19411</x:v>
      </x:c>
      <x:c r="Q285" t="n">
        <x:v>0</x:v>
      </x:c>
      <x:c r="R285" t="n">
        <x:v>2</x:v>
      </x:c>
      <x:c r="S285" t="n">
        <x:v>722</x:v>
      </x:c>
      <x:c r="T285" s="18" t="n">
        <x:v>60.24444444444445</x:v>
      </x:c>
      <x:c r="U285" t="n">
        <x:v>34</x:v>
      </x:c>
      <x:c r="V285" t="n">
        <x:v>34</x:v>
      </x:c>
      <x:c r="W285" t="n">
        <x:v>3</x:v>
      </x:c>
      <x:c r="X285" s="18" t="n">
        <x:v>24</x:v>
      </x:c>
      <x:c r="Y285" s="18" t="n">
        <x:v>83</x:v>
      </x:c>
      <x:c r="Z285" s="18"/>
      <x:c r="AA285" t="n">
        <x:v>0</x:v>
      </x:c>
    </x:row>
    <x:row r="286">
      <x:c r="A286" t="str">
        <x:v>A-5f2961</x:v>
      </x:c>
      <x:c r="B286" t="str">
        <x:v>Company_284</x:v>
      </x:c>
      <x:c r="C286" t="str">
        <x:v>HealthTech</x:v>
      </x:c>
      <x:c r="D286" t="str">
        <x:v>US</x:v>
      </x:c>
      <x:c r="E286" s="14" t="n">
        <x:v>45618</x:v>
      </x:c>
      <x:c r="F286" t="str">
        <x:v>2024-11</x:v>
      </x:c>
      <x:c r="G286" t="str">
        <x:v>partner</x:v>
      </x:c>
      <x:c r="H286" t="str">
        <x:v>Basic</x:v>
      </x:c>
      <x:c r="I286" t="n">
        <x:v>4</x:v>
      </x:c>
      <x:c r="J286" s="1" t="b">
        <x:v>0</x:v>
      </x:c>
      <x:c r="K286" t="str">
        <x:v>Active</x:v>
      </x:c>
      <x:c r="L286" t="n">
        <x:v>39</x:v>
      </x:c>
      <x:c r="M286" t="str"/>
      <x:c r="N286" t="n">
        <x:v>1</x:v>
      </x:c>
      <x:c r="O286" t="n">
        <x:v>7</x:v>
      </x:c>
      <x:c r="P286" s="16" t="n">
        <x:v>10299</x:v>
      </x:c>
      <x:c r="Q286" t="n">
        <x:v>0</x:v>
      </x:c>
      <x:c r="R286" t="n">
        <x:v>0</x:v>
      </x:c>
      <x:c r="S286" t="n">
        <x:v>348</x:v>
      </x:c>
      <x:c r="T286" s="18" t="n">
        <x:v>28.6175</x:v>
      </x:c>
      <x:c r="U286" t="n">
        <x:v>19</x:v>
      </x:c>
      <x:c r="V286" t="n">
        <x:v>22</x:v>
      </x:c>
      <x:c r="W286" t="n">
        <x:v>1</x:v>
      </x:c>
      <x:c r="X286" s="18" t="n">
        <x:v>53</x:v>
      </x:c>
      <x:c r="Y286" s="18" t="n">
        <x:v>19</x:v>
      </x:c>
      <x:c r="Z286" s="18"/>
      <x:c r="AA286" t="n">
        <x:v>0</x:v>
      </x:c>
    </x:row>
    <x:row r="287">
      <x:c r="A287" t="str">
        <x:v>A-417d2f</x:v>
      </x:c>
      <x:c r="B287" t="str">
        <x:v>Company_285</x:v>
      </x:c>
      <x:c r="C287" t="str">
        <x:v>Cybersecurity</x:v>
      </x:c>
      <x:c r="D287" t="str">
        <x:v>IN</x:v>
      </x:c>
      <x:c r="E287" s="14" t="n">
        <x:v>45111</x:v>
      </x:c>
      <x:c r="F287" t="str">
        <x:v>2023-07</x:v>
      </x:c>
      <x:c r="G287" t="str">
        <x:v>partner</x:v>
      </x:c>
      <x:c r="H287" t="str">
        <x:v>Pro</x:v>
      </x:c>
      <x:c r="I287" t="n">
        <x:v>4</x:v>
      </x:c>
      <x:c r="J287" s="1" t="b">
        <x:v>1</x:v>
      </x:c>
      <x:c r="K287" t="str">
        <x:v>Active</x:v>
      </x:c>
      <x:c r="L287" t="n">
        <x:v>546</x:v>
      </x:c>
      <x:c r="M287" t="str"/>
      <x:c r="N287" t="n">
        <x:v>1</x:v>
      </x:c>
      <x:c r="O287" t="n">
        <x:v>16</x:v>
      </x:c>
      <x:c r="P287" s="16" t="n">
        <x:v>17759</x:v>
      </x:c>
      <x:c r="Q287" t="n">
        <x:v>1</x:v>
      </x:c>
      <x:c r="R287" t="n">
        <x:v>0</x:v>
      </x:c>
      <x:c r="S287" t="n">
        <x:v>722</x:v>
      </x:c>
      <x:c r="T287" s="18" t="n">
        <x:v>57.33361111111111</x:v>
      </x:c>
      <x:c r="U287" t="n">
        <x:v>31</x:v>
      </x:c>
      <x:c r="V287" t="n">
        <x:v>37</x:v>
      </x:c>
      <x:c r="W287" t="n">
        <x:v>6</x:v>
      </x:c>
      <x:c r="X287" s="18" t="n">
        <x:v>43.5</x:v>
      </x:c>
      <x:c r="Y287" s="18" t="n">
        <x:v>80.5</x:v>
      </x:c>
      <x:c r="Z287" s="18" t="n">
        <x:v>4.333333333333333</x:v>
      </x:c>
      <x:c r="AA287" t="n">
        <x:v>0</x:v>
      </x:c>
    </x:row>
    <x:row r="288">
      <x:c r="A288" t="str">
        <x:v>A-e98302</x:v>
      </x:c>
      <x:c r="B288" t="str">
        <x:v>Company_286</x:v>
      </x:c>
      <x:c r="C288" t="str">
        <x:v>EdTech</x:v>
      </x:c>
      <x:c r="D288" t="str">
        <x:v>US</x:v>
      </x:c>
      <x:c r="E288" s="14" t="n">
        <x:v>45286</x:v>
      </x:c>
      <x:c r="F288" t="str">
        <x:v>2023-12</x:v>
      </x:c>
      <x:c r="G288" t="str">
        <x:v>ads</x:v>
      </x:c>
      <x:c r="H288" t="str">
        <x:v>Enterprise</x:v>
      </x:c>
      <x:c r="I288" t="n">
        <x:v>16</x:v>
      </x:c>
      <x:c r="J288" s="1" t="b">
        <x:v>1</x:v>
      </x:c>
      <x:c r="K288" t="str">
        <x:v>Active</x:v>
      </x:c>
      <x:c r="L288" t="n">
        <x:v>371</x:v>
      </x:c>
      <x:c r="M288" t="str"/>
      <x:c r="N288" t="n">
        <x:v>0</x:v>
      </x:c>
      <x:c r="O288" t="n">
        <x:v>6</x:v>
      </x:c>
      <x:c r="P288" s="16" t="n">
        <x:v>9725</x:v>
      </x:c>
      <x:c r="Q288" t="n">
        <x:v>0</x:v>
      </x:c>
      <x:c r="R288" t="n">
        <x:v>0</x:v>
      </x:c>
      <x:c r="S288" t="n">
        <x:v>273</x:v>
      </x:c>
      <x:c r="T288" s="18" t="n">
        <x:v>24.653055555555557</x:v>
      </x:c>
      <x:c r="U288" t="n">
        <x:v>18</x:v>
      </x:c>
      <x:c r="V288" t="n">
        <x:v>21</x:v>
      </x:c>
      <x:c r="W288" t="n">
        <x:v>9</x:v>
      </x:c>
      <x:c r="X288" s="18" t="n">
        <x:v>44.44444444444444</x:v>
      </x:c>
      <x:c r="Y288" s="18" t="n">
        <x:v>99.44444444444444</x:v>
      </x:c>
      <x:c r="Z288" s="18" t="n">
        <x:v>4.142857142857143</x:v>
      </x:c>
      <x:c r="AA288" t="n">
        <x:v>0</x:v>
      </x:c>
    </x:row>
    <x:row r="289">
      <x:c r="A289" t="str">
        <x:v>A-8bde0c</x:v>
      </x:c>
      <x:c r="B289" t="str">
        <x:v>Company_287</x:v>
      </x:c>
      <x:c r="C289" t="str">
        <x:v>DevTools</x:v>
      </x:c>
      <x:c r="D289" t="str">
        <x:v>US</x:v>
      </x:c>
      <x:c r="E289" s="14" t="n">
        <x:v>45600</x:v>
      </x:c>
      <x:c r="F289" t="str">
        <x:v>2024-11</x:v>
      </x:c>
      <x:c r="G289" t="str">
        <x:v>organic</x:v>
      </x:c>
      <x:c r="H289" t="str">
        <x:v>Basic</x:v>
      </x:c>
      <x:c r="I289" t="n">
        <x:v>12</x:v>
      </x:c>
      <x:c r="J289" s="1" t="b">
        <x:v>0</x:v>
      </x:c>
      <x:c r="K289" t="str">
        <x:v>Active</x:v>
      </x:c>
      <x:c r="L289" t="n">
        <x:v>57</x:v>
      </x:c>
      <x:c r="M289" t="str"/>
      <x:c r="N289" t="n">
        <x:v>2</x:v>
      </x:c>
      <x:c r="O289" t="n">
        <x:v>18</x:v>
      </x:c>
      <x:c r="P289" s="16" t="n">
        <x:v>32385</x:v>
      </x:c>
      <x:c r="Q289" t="n">
        <x:v>2</x:v>
      </x:c>
      <x:c r="R289" t="n">
        <x:v>0</x:v>
      </x:c>
      <x:c r="S289" t="n">
        <x:v>773</x:v>
      </x:c>
      <x:c r="T289" s="18" t="n">
        <x:v>66.91888888888889</x:v>
      </x:c>
      <x:c r="U289" t="n">
        <x:v>43</x:v>
      </x:c>
      <x:c r="V289" t="n">
        <x:v>34</x:v>
      </x:c>
      <x:c r="W289" t="n">
        <x:v>3</x:v>
      </x:c>
      <x:c r="X289" s="18" t="n">
        <x:v>25.666666666666668</x:v>
      </x:c>
      <x:c r="Y289" s="18" t="n">
        <x:v>86.33333333333333</x:v>
      </x:c>
      <x:c r="Z289" s="18" t="n">
        <x:v>4</x:v>
      </x:c>
      <x:c r="AA289" t="n">
        <x:v>0</x:v>
      </x:c>
    </x:row>
    <x:row r="290">
      <x:c r="A290" t="str">
        <x:v>A-bcf87c</x:v>
      </x:c>
      <x:c r="B290" t="str">
        <x:v>Company_288</x:v>
      </x:c>
      <x:c r="C290" t="str">
        <x:v>FinTech</x:v>
      </x:c>
      <x:c r="D290" t="str">
        <x:v>US</x:v>
      </x:c>
      <x:c r="E290" s="14" t="n">
        <x:v>45470</x:v>
      </x:c>
      <x:c r="F290" t="str">
        <x:v>2024-06</x:v>
      </x:c>
      <x:c r="G290" t="str">
        <x:v>event</x:v>
      </x:c>
      <x:c r="H290" t="str">
        <x:v>Pro</x:v>
      </x:c>
      <x:c r="I290" t="n">
        <x:v>10</x:v>
      </x:c>
      <x:c r="J290" s="1" t="b">
        <x:v>0</x:v>
      </x:c>
      <x:c r="K290" t="str">
        <x:v>Churned</x:v>
      </x:c>
      <x:c r="L290" t="n">
        <x:v>187</x:v>
      </x:c>
      <x:c r="M290" t="str"/>
      <x:c r="N290" t="n">
        <x:v>0</x:v>
      </x:c>
      <x:c r="O290" t="n">
        <x:v>11</x:v>
      </x:c>
      <x:c r="P290" s="16" t="n">
        <x:v>13611</x:v>
      </x:c>
      <x:c r="Q290" t="n">
        <x:v>0</x:v>
      </x:c>
      <x:c r="R290" t="n">
        <x:v>1</x:v>
      </x:c>
      <x:c r="S290" t="n">
        <x:v>503</x:v>
      </x:c>
      <x:c r="T290" s="18" t="n">
        <x:v>40.99722222222222</x:v>
      </x:c>
      <x:c r="U290" t="n">
        <x:v>19</x:v>
      </x:c>
      <x:c r="V290" t="n">
        <x:v>26</x:v>
      </x:c>
      <x:c r="W290" t="n">
        <x:v>2</x:v>
      </x:c>
      <x:c r="X290" s="18" t="n">
        <x:v>63</x:v>
      </x:c>
      <x:c r="Y290" s="18" t="n">
        <x:v>49.5</x:v>
      </x:c>
      <x:c r="Z290" s="18" t="n">
        <x:v>4</x:v>
      </x:c>
      <x:c r="AA290" t="n">
        <x:v>0</x:v>
      </x:c>
    </x:row>
    <x:row r="291">
      <x:c r="A291" t="str">
        <x:v>A-54ecc2</x:v>
      </x:c>
      <x:c r="B291" t="str">
        <x:v>Company_289</x:v>
      </x:c>
      <x:c r="C291" t="str">
        <x:v>Cybersecurity</x:v>
      </x:c>
      <x:c r="D291" t="str">
        <x:v>US</x:v>
      </x:c>
      <x:c r="E291" s="14" t="n">
        <x:v>45088</x:v>
      </x:c>
      <x:c r="F291" t="str">
        <x:v>2023-06</x:v>
      </x:c>
      <x:c r="G291" t="str">
        <x:v>partner</x:v>
      </x:c>
      <x:c r="H291" t="str">
        <x:v>Enterprise</x:v>
      </x:c>
      <x:c r="I291" t="n">
        <x:v>4</x:v>
      </x:c>
      <x:c r="J291" s="1" t="b">
        <x:v>0</x:v>
      </x:c>
      <x:c r="K291" t="str">
        <x:v>Active</x:v>
      </x:c>
      <x:c r="L291" t="n">
        <x:v>569</x:v>
      </x:c>
      <x:c r="M291" t="str"/>
      <x:c r="N291" t="n">
        <x:v>3</x:v>
      </x:c>
      <x:c r="O291" t="n">
        <x:v>11</x:v>
      </x:c>
      <x:c r="P291" s="16" t="n">
        <x:v>16168</x:v>
      </x:c>
      <x:c r="Q291" t="n">
        <x:v>0</x:v>
      </x:c>
      <x:c r="R291" t="n">
        <x:v>1</x:v>
      </x:c>
      <x:c r="S291" t="n">
        <x:v>607</x:v>
      </x:c>
      <x:c r="T291" s="18" t="n">
        <x:v>50.971666666666664</x:v>
      </x:c>
      <x:c r="U291" t="n">
        <x:v>39</x:v>
      </x:c>
      <x:c r="V291" t="n">
        <x:v>28</x:v>
      </x:c>
      <x:c r="W291" t="n">
        <x:v>5</x:v>
      </x:c>
      <x:c r="X291" s="18" t="n">
        <x:v>37.4</x:v>
      </x:c>
      <x:c r="Y291" s="18" t="n">
        <x:v>72</x:v>
      </x:c>
      <x:c r="Z291" s="18" t="n">
        <x:v>5</x:v>
      </x:c>
      <x:c r="AA291" t="n">
        <x:v>0</x:v>
      </x:c>
    </x:row>
    <x:row r="292">
      <x:c r="A292" t="str">
        <x:v>A-625d0b</x:v>
      </x:c>
      <x:c r="B292" t="str">
        <x:v>Company_290</x:v>
      </x:c>
      <x:c r="C292" t="str">
        <x:v>EdTech</x:v>
      </x:c>
      <x:c r="D292" t="str">
        <x:v>AU</x:v>
      </x:c>
      <x:c r="E292" s="14" t="n">
        <x:v>45537</x:v>
      </x:c>
      <x:c r="F292" t="str">
        <x:v>2024-09</x:v>
      </x:c>
      <x:c r="G292" t="str">
        <x:v>ads</x:v>
      </x:c>
      <x:c r="H292" t="str">
        <x:v>Basic</x:v>
      </x:c>
      <x:c r="I292" t="n">
        <x:v>9</x:v>
      </x:c>
      <x:c r="J292" s="1" t="b">
        <x:v>0</x:v>
      </x:c>
      <x:c r="K292" t="str">
        <x:v>Active</x:v>
      </x:c>
      <x:c r="L292" t="n">
        <x:v>120</x:v>
      </x:c>
      <x:c r="M292" t="str"/>
      <x:c r="N292" t="n">
        <x:v>0</x:v>
      </x:c>
      <x:c r="O292" t="n">
        <x:v>11</x:v>
      </x:c>
      <x:c r="P292" s="16" t="n">
        <x:v>9903</x:v>
      </x:c>
      <x:c r="Q292" t="n">
        <x:v>0</x:v>
      </x:c>
      <x:c r="R292" t="n">
        <x:v>0</x:v>
      </x:c>
      <x:c r="S292" t="n">
        <x:v>529</x:v>
      </x:c>
      <x:c r="T292" s="18" t="n">
        <x:v>39.3025</x:v>
      </x:c>
      <x:c r="U292" t="n">
        <x:v>38</x:v>
      </x:c>
      <x:c r="V292" t="n">
        <x:v>32</x:v>
      </x:c>
      <x:c r="W292" t="n">
        <x:v>5</x:v>
      </x:c>
      <x:c r="X292" s="18" t="n">
        <x:v>48.4</x:v>
      </x:c>
      <x:c r="Y292" s="18" t="n">
        <x:v>72.4</x:v>
      </x:c>
      <x:c r="Z292" s="18" t="n">
        <x:v>3</x:v>
      </x:c>
      <x:c r="AA292" t="n">
        <x:v>0</x:v>
      </x:c>
    </x:row>
    <x:row r="293">
      <x:c r="A293" t="str">
        <x:v>A-fce879</x:v>
      </x:c>
      <x:c r="B293" t="str">
        <x:v>Company_291</x:v>
      </x:c>
      <x:c r="C293" t="str">
        <x:v>EdTech</x:v>
      </x:c>
      <x:c r="D293" t="str">
        <x:v>UK</x:v>
      </x:c>
      <x:c r="E293" s="14" t="n">
        <x:v>45559</x:v>
      </x:c>
      <x:c r="F293" t="str">
        <x:v>2024-09</x:v>
      </x:c>
      <x:c r="G293" t="str">
        <x:v>partner</x:v>
      </x:c>
      <x:c r="H293" t="str">
        <x:v>Pro</x:v>
      </x:c>
      <x:c r="I293" t="n">
        <x:v>10</x:v>
      </x:c>
      <x:c r="J293" s="1" t="b">
        <x:v>1</x:v>
      </x:c>
      <x:c r="K293" t="str">
        <x:v>Churned</x:v>
      </x:c>
      <x:c r="L293" t="n">
        <x:v>70</x:v>
      </x:c>
      <x:c r="M293" t="str">
        <x:v>features</x:v>
      </x:c>
      <x:c r="N293" t="n">
        <x:v>2</x:v>
      </x:c>
      <x:c r="O293" t="n">
        <x:v>5</x:v>
      </x:c>
      <x:c r="P293" s="16" t="n">
        <x:v>6797</x:v>
      </x:c>
      <x:c r="Q293" t="n">
        <x:v>0</x:v>
      </x:c>
      <x:c r="R293" t="n">
        <x:v>1</x:v>
      </x:c>
      <x:c r="S293" t="n">
        <x:v>299</x:v>
      </x:c>
      <x:c r="T293" s="18" t="n">
        <x:v>27.427777777777777</x:v>
      </x:c>
      <x:c r="U293" t="n">
        <x:v>14</x:v>
      </x:c>
      <x:c r="V293" t="n">
        <x:v>25</x:v>
      </x:c>
      <x:c r="W293" t="n">
        <x:v>2</x:v>
      </x:c>
      <x:c r="X293" s="18" t="n">
        <x:v>28</x:v>
      </x:c>
      <x:c r="Y293" s="18" t="n">
        <x:v>61.5</x:v>
      </x:c>
      <x:c r="Z293" s="18" t="n">
        <x:v>4</x:v>
      </x:c>
      <x:c r="AA293" t="n">
        <x:v>0</x:v>
      </x:c>
    </x:row>
    <x:row r="294">
      <x:c r="A294" t="str">
        <x:v>A-b07b56</x:v>
      </x:c>
      <x:c r="B294" t="str">
        <x:v>Company_292</x:v>
      </x:c>
      <x:c r="C294" t="str">
        <x:v>DevTools</x:v>
      </x:c>
      <x:c r="D294" t="str">
        <x:v>US</x:v>
      </x:c>
      <x:c r="E294" s="14" t="n">
        <x:v>45604</x:v>
      </x:c>
      <x:c r="F294" t="str">
        <x:v>2024-11</x:v>
      </x:c>
      <x:c r="G294" t="str">
        <x:v>event</x:v>
      </x:c>
      <x:c r="H294" t="str">
        <x:v>Pro</x:v>
      </x:c>
      <x:c r="I294" t="n">
        <x:v>25</x:v>
      </x:c>
      <x:c r="J294" s="1" t="b">
        <x:v>0</x:v>
      </x:c>
      <x:c r="K294" t="str">
        <x:v>Churned</x:v>
      </x:c>
      <x:c r="L294" t="n">
        <x:v>46</x:v>
      </x:c>
      <x:c r="M294" t="str">
        <x:v>budget</x:v>
      </x:c>
      <x:c r="N294" t="n">
        <x:v>1</x:v>
      </x:c>
      <x:c r="O294" t="n">
        <x:v>15</x:v>
      </x:c>
      <x:c r="P294" s="16" t="n">
        <x:v>16984</x:v>
      </x:c>
      <x:c r="Q294" t="n">
        <x:v>0</x:v>
      </x:c>
      <x:c r="R294" t="n">
        <x:v>0</x:v>
      </x:c>
      <x:c r="S294" t="n">
        <x:v>633</x:v>
      </x:c>
      <x:c r="T294" s="18" t="n">
        <x:v>51.51722222222222</x:v>
      </x:c>
      <x:c r="U294" t="n">
        <x:v>39</x:v>
      </x:c>
      <x:c r="V294" t="n">
        <x:v>32</x:v>
      </x:c>
      <x:c r="W294" t="n">
        <x:v>4</x:v>
      </x:c>
      <x:c r="X294" s="18" t="n">
        <x:v>31.25</x:v>
      </x:c>
      <x:c r="Y294" s="18" t="n">
        <x:v>93.75</x:v>
      </x:c>
      <x:c r="Z294" s="18" t="n">
        <x:v>3</x:v>
      </x:c>
      <x:c r="AA294" t="n">
        <x:v>0</x:v>
      </x:c>
    </x:row>
    <x:row r="295">
      <x:c r="A295" t="str">
        <x:v>A-6da850</x:v>
      </x:c>
      <x:c r="B295" t="str">
        <x:v>Company_293</x:v>
      </x:c>
      <x:c r="C295" t="str">
        <x:v>FinTech</x:v>
      </x:c>
      <x:c r="D295" t="str">
        <x:v>IN</x:v>
      </x:c>
      <x:c r="E295" s="14" t="n">
        <x:v>45206</x:v>
      </x:c>
      <x:c r="F295" t="str">
        <x:v>2023-10</x:v>
      </x:c>
      <x:c r="G295" t="str">
        <x:v>organic</x:v>
      </x:c>
      <x:c r="H295" t="str">
        <x:v>Pro</x:v>
      </x:c>
      <x:c r="I295" t="n">
        <x:v>5</x:v>
      </x:c>
      <x:c r="J295" s="1" t="b">
        <x:v>0</x:v>
      </x:c>
      <x:c r="K295" t="str">
        <x:v>Active</x:v>
      </x:c>
      <x:c r="L295" t="n">
        <x:v>451</x:v>
      </x:c>
      <x:c r="M295" t="str"/>
      <x:c r="N295" t="n">
        <x:v>3</x:v>
      </x:c>
      <x:c r="O295" t="n">
        <x:v>16</x:v>
      </x:c>
      <x:c r="P295" s="16" t="n">
        <x:v>16534</x:v>
      </x:c>
      <x:c r="Q295" t="n">
        <x:v>3</x:v>
      </x:c>
      <x:c r="R295" t="n">
        <x:v>1</x:v>
      </x:c>
      <x:c r="S295" t="n">
        <x:v>714</x:v>
      </x:c>
      <x:c r="T295" s="18" t="n">
        <x:v>51.769444444444446</x:v>
      </x:c>
      <x:c r="U295" t="n">
        <x:v>54</x:v>
      </x:c>
      <x:c r="V295" t="n">
        <x:v>30</x:v>
      </x:c>
      <x:c r="W295" t="n">
        <x:v>5</x:v>
      </x:c>
      <x:c r="X295" s="18" t="n">
        <x:v>49</x:v>
      </x:c>
      <x:c r="Y295" s="18" t="n">
        <x:v>76.4</x:v>
      </x:c>
      <x:c r="Z295" s="18" t="n">
        <x:v>4</x:v>
      </x:c>
      <x:c r="AA295" t="n">
        <x:v>0</x:v>
      </x:c>
    </x:row>
    <x:row r="296">
      <x:c r="A296" t="str">
        <x:v>A-342303</x:v>
      </x:c>
      <x:c r="B296" t="str">
        <x:v>Company_294</x:v>
      </x:c>
      <x:c r="C296" t="str">
        <x:v>EdTech</x:v>
      </x:c>
      <x:c r="D296" t="str">
        <x:v>US</x:v>
      </x:c>
      <x:c r="E296" s="14" t="n">
        <x:v>45367</x:v>
      </x:c>
      <x:c r="F296" t="str">
        <x:v>2024-03</x:v>
      </x:c>
      <x:c r="G296" t="str">
        <x:v>other</x:v>
      </x:c>
      <x:c r="H296" t="str">
        <x:v>Pro</x:v>
      </x:c>
      <x:c r="I296" t="n">
        <x:v>1</x:v>
      </x:c>
      <x:c r="J296" s="1" t="b">
        <x:v>1</x:v>
      </x:c>
      <x:c r="K296" t="str">
        <x:v>Active</x:v>
      </x:c>
      <x:c r="L296" t="n">
        <x:v>290</x:v>
      </x:c>
      <x:c r="M296" t="str"/>
      <x:c r="N296" t="n">
        <x:v>1</x:v>
      </x:c>
      <x:c r="O296" t="n">
        <x:v>3</x:v>
      </x:c>
      <x:c r="P296" s="16" t="n">
        <x:v>1695</x:v>
      </x:c>
      <x:c r="Q296" t="n">
        <x:v>0</x:v>
      </x:c>
      <x:c r="R296" t="n">
        <x:v>0</x:v>
      </x:c>
      <x:c r="S296" t="n">
        <x:v>141</x:v>
      </x:c>
      <x:c r="T296" s="18" t="n">
        <x:v>6.4302777777777775</x:v>
      </x:c>
      <x:c r="U296" t="n">
        <x:v>5</x:v>
      </x:c>
      <x:c r="V296" t="n">
        <x:v>12</x:v>
      </x:c>
      <x:c r="W296" t="n">
        <x:v>3</x:v>
      </x:c>
      <x:c r="X296" s="18" t="n">
        <x:v>29.333333333333332</x:v>
      </x:c>
      <x:c r="Y296" s="18" t="n">
        <x:v>71.33333333333333</x:v>
      </x:c>
      <x:c r="Z296" s="18" t="n">
        <x:v>4.5</x:v>
      </x:c>
      <x:c r="AA296" t="n">
        <x:v>0</x:v>
      </x:c>
    </x:row>
    <x:row r="297">
      <x:c r="A297" t="str">
        <x:v>A-e7a1e2</x:v>
      </x:c>
      <x:c r="B297" t="str">
        <x:v>Company_295</x:v>
      </x:c>
      <x:c r="C297" t="str">
        <x:v>Cybersecurity</x:v>
      </x:c>
      <x:c r="D297" t="str">
        <x:v>US</x:v>
      </x:c>
      <x:c r="E297" s="14" t="n">
        <x:v>45466</x:v>
      </x:c>
      <x:c r="F297" t="str">
        <x:v>2024-06</x:v>
      </x:c>
      <x:c r="G297" t="str">
        <x:v>event</x:v>
      </x:c>
      <x:c r="H297" t="str">
        <x:v>Enterprise</x:v>
      </x:c>
      <x:c r="I297" t="n">
        <x:v>3</x:v>
      </x:c>
      <x:c r="J297" s="1" t="b">
        <x:v>0</x:v>
      </x:c>
      <x:c r="K297" t="str">
        <x:v>Active</x:v>
      </x:c>
      <x:c r="L297" t="n">
        <x:v>191</x:v>
      </x:c>
      <x:c r="M297" t="str"/>
      <x:c r="N297" t="n">
        <x:v>3</x:v>
      </x:c>
      <x:c r="O297" t="n">
        <x:v>12</x:v>
      </x:c>
      <x:c r="P297" s="16" t="n">
        <x:v>19047</x:v>
      </x:c>
      <x:c r="Q297" t="n">
        <x:v>0</x:v>
      </x:c>
      <x:c r="R297" t="n">
        <x:v>0</x:v>
      </x:c>
      <x:c r="S297" t="n">
        <x:v>703</x:v>
      </x:c>
      <x:c r="T297" s="18" t="n">
        <x:v>61.36888888888889</x:v>
      </x:c>
      <x:c r="U297" t="n">
        <x:v>36</x:v>
      </x:c>
      <x:c r="V297" t="n">
        <x:v>36</x:v>
      </x:c>
      <x:c r="W297" t="n">
        <x:v>1</x:v>
      </x:c>
      <x:c r="X297" s="18" t="n">
        <x:v>45</x:v>
      </x:c>
      <x:c r="Y297" s="18" t="n">
        <x:v>37</x:v>
      </x:c>
      <x:c r="Z297" s="18" t="n">
        <x:v>4</x:v>
      </x:c>
      <x:c r="AA297" t="n">
        <x:v>0</x:v>
      </x:c>
    </x:row>
    <x:row r="298">
      <x:c r="A298" t="str">
        <x:v>A-f1f639</x:v>
      </x:c>
      <x:c r="B298" t="str">
        <x:v>Company_296</x:v>
      </x:c>
      <x:c r="C298" t="str">
        <x:v>EdTech</x:v>
      </x:c>
      <x:c r="D298" t="str">
        <x:v>US</x:v>
      </x:c>
      <x:c r="E298" s="14" t="n">
        <x:v>44983</x:v>
      </x:c>
      <x:c r="F298" t="str">
        <x:v>2023-02</x:v>
      </x:c>
      <x:c r="G298" t="str">
        <x:v>ads</x:v>
      </x:c>
      <x:c r="H298" t="str">
        <x:v>Basic</x:v>
      </x:c>
      <x:c r="I298" t="n">
        <x:v>2</x:v>
      </x:c>
      <x:c r="J298" s="1" t="b">
        <x:v>0</x:v>
      </x:c>
      <x:c r="K298" t="str">
        <x:v>Active</x:v>
      </x:c>
      <x:c r="L298" t="n">
        <x:v>674</x:v>
      </x:c>
      <x:c r="M298" t="str"/>
      <x:c r="N298" t="n">
        <x:v>2</x:v>
      </x:c>
      <x:c r="O298" t="n">
        <x:v>4</x:v>
      </x:c>
      <x:c r="P298" s="16" t="n">
        <x:v>2919</x:v>
      </x:c>
      <x:c r="Q298" t="n">
        <x:v>1</x:v>
      </x:c>
      <x:c r="R298" t="n">
        <x:v>0</x:v>
      </x:c>
      <x:c r="S298" t="n">
        <x:v>139</x:v>
      </x:c>
      <x:c r="T298" s="18" t="n">
        <x:v>11.971388888888889</x:v>
      </x:c>
      <x:c r="U298" t="n">
        <x:v>10</x:v>
      </x:c>
      <x:c r="V298" t="n">
        <x:v>12</x:v>
      </x:c>
      <x:c r="W298" t="n">
        <x:v>7</x:v>
      </x:c>
      <x:c r="X298" s="18" t="n">
        <x:v>20</x:v>
      </x:c>
      <x:c r="Y298" s="18" t="n">
        <x:v>67.57142857142857</x:v>
      </x:c>
      <x:c r="Z298" s="18" t="n">
        <x:v>4.8</x:v>
      </x:c>
      <x:c r="AA298" t="n">
        <x:v>0</x:v>
      </x:c>
    </x:row>
    <x:row r="299">
      <x:c r="A299" t="str">
        <x:v>A-a865bd</x:v>
      </x:c>
      <x:c r="B299" t="str">
        <x:v>Company_297</x:v>
      </x:c>
      <x:c r="C299" t="str">
        <x:v>Cybersecurity</x:v>
      </x:c>
      <x:c r="D299" t="str">
        <x:v>US</x:v>
      </x:c>
      <x:c r="E299" s="14" t="n">
        <x:v>45188</x:v>
      </x:c>
      <x:c r="F299" t="str">
        <x:v>2023-09</x:v>
      </x:c>
      <x:c r="G299" t="str">
        <x:v>organic</x:v>
      </x:c>
      <x:c r="H299" t="str">
        <x:v>Pro</x:v>
      </x:c>
      <x:c r="I299" t="n">
        <x:v>38</x:v>
      </x:c>
      <x:c r="J299" s="1" t="b">
        <x:v>0</x:v>
      </x:c>
      <x:c r="K299" t="str">
        <x:v>Active</x:v>
      </x:c>
      <x:c r="L299" t="n">
        <x:v>469</x:v>
      </x:c>
      <x:c r="M299" t="str"/>
      <x:c r="N299" t="n">
        <x:v>2</x:v>
      </x:c>
      <x:c r="O299" t="n">
        <x:v>5</x:v>
      </x:c>
      <x:c r="P299" s="16" t="n">
        <x:v>21022</x:v>
      </x:c>
      <x:c r="Q299" t="n">
        <x:v>0</x:v>
      </x:c>
      <x:c r="R299" t="n">
        <x:v>0</x:v>
      </x:c>
      <x:c r="S299" t="n">
        <x:v>230</x:v>
      </x:c>
      <x:c r="T299" s="18" t="n">
        <x:v>16.7</x:v>
      </x:c>
      <x:c r="U299" t="n">
        <x:v>13</x:v>
      </x:c>
      <x:c r="V299" t="n">
        <x:v>19</x:v>
      </x:c>
      <x:c r="W299" t="n">
        <x:v>2</x:v>
      </x:c>
      <x:c r="X299" s="18" t="n">
        <x:v>31.5</x:v>
      </x:c>
      <x:c r="Y299" s="18" t="n">
        <x:v>21.5</x:v>
      </x:c>
      <x:c r="Z299" s="18" t="n">
        <x:v>3</x:v>
      </x:c>
      <x:c r="AA299" t="n">
        <x:v>0</x:v>
      </x:c>
    </x:row>
    <x:row r="300">
      <x:c r="A300" t="str">
        <x:v>A-4e631b</x:v>
      </x:c>
      <x:c r="B300" t="str">
        <x:v>Company_298</x:v>
      </x:c>
      <x:c r="C300" t="str">
        <x:v>FinTech</x:v>
      </x:c>
      <x:c r="D300" t="str">
        <x:v>US</x:v>
      </x:c>
      <x:c r="E300" s="14" t="n">
        <x:v>45367</x:v>
      </x:c>
      <x:c r="F300" t="str">
        <x:v>2024-03</x:v>
      </x:c>
      <x:c r="G300" t="str">
        <x:v>other</x:v>
      </x:c>
      <x:c r="H300" t="str">
        <x:v>Enterprise</x:v>
      </x:c>
      <x:c r="I300" t="n">
        <x:v>22</x:v>
      </x:c>
      <x:c r="J300" s="1" t="b">
        <x:v>0</x:v>
      </x:c>
      <x:c r="K300" t="str">
        <x:v>Active</x:v>
      </x:c>
      <x:c r="L300" t="n">
        <x:v>290</x:v>
      </x:c>
      <x:c r="M300" t="str"/>
      <x:c r="N300" t="n">
        <x:v>0</x:v>
      </x:c>
      <x:c r="O300" t="n">
        <x:v>11</x:v>
      </x:c>
      <x:c r="P300" s="16" t="n">
        <x:v>24398</x:v>
      </x:c>
      <x:c r="Q300" t="n">
        <x:v>1</x:v>
      </x:c>
      <x:c r="R300" t="n">
        <x:v>1</x:v>
      </x:c>
      <x:c r="S300" t="n">
        <x:v>502</x:v>
      </x:c>
      <x:c r="T300" s="18" t="n">
        <x:v>42.96333333333333</x:v>
      </x:c>
      <x:c r="U300" t="n">
        <x:v>29</x:v>
      </x:c>
      <x:c r="V300" t="n">
        <x:v>32</x:v>
      </x:c>
      <x:c r="W300" t="n">
        <x:v>2</x:v>
      </x:c>
      <x:c r="X300" s="18" t="n">
        <x:v>24.5</x:v>
      </x:c>
      <x:c r="Y300" s="18" t="n">
        <x:v>52</x:v>
      </x:c>
      <x:c r="Z300" s="18" t="n">
        <x:v>4</x:v>
      </x:c>
      <x:c r="AA300" t="n">
        <x:v>0</x:v>
      </x:c>
    </x:row>
    <x:row r="301">
      <x:c r="A301" t="str">
        <x:v>A-7f6b86</x:v>
      </x:c>
      <x:c r="B301" t="str">
        <x:v>Company_299</x:v>
      </x:c>
      <x:c r="C301" t="str">
        <x:v>HealthTech</x:v>
      </x:c>
      <x:c r="D301" t="str">
        <x:v>US</x:v>
      </x:c>
      <x:c r="E301" s="14" t="n">
        <x:v>45162</x:v>
      </x:c>
      <x:c r="F301" t="str">
        <x:v>2023-08</x:v>
      </x:c>
      <x:c r="G301" t="str">
        <x:v>partner</x:v>
      </x:c>
      <x:c r="H301" t="str">
        <x:v>Basic</x:v>
      </x:c>
      <x:c r="I301" t="n">
        <x:v>45</x:v>
      </x:c>
      <x:c r="J301" s="1" t="b">
        <x:v>1</x:v>
      </x:c>
      <x:c r="K301" t="str">
        <x:v>Churned</x:v>
      </x:c>
      <x:c r="L301" t="n">
        <x:v>321</x:v>
      </x:c>
      <x:c r="M301" t="str">
        <x:v>pricing</x:v>
      </x:c>
      <x:c r="N301" t="n">
        <x:v>1</x:v>
      </x:c>
      <x:c r="O301" t="n">
        <x:v>9</x:v>
      </x:c>
      <x:c r="P301" s="16" t="n">
        <x:v>17197</x:v>
      </x:c>
      <x:c r="Q301" t="n">
        <x:v>3</x:v>
      </x:c>
      <x:c r="R301" t="n">
        <x:v>0</x:v>
      </x:c>
      <x:c r="S301" t="n">
        <x:v>420</x:v>
      </x:c>
      <x:c r="T301" s="18" t="n">
        <x:v>40.06916666666667</x:v>
      </x:c>
      <x:c r="U301" t="n">
        <x:v>14</x:v>
      </x:c>
      <x:c r="V301" t="n">
        <x:v>27</x:v>
      </x:c>
      <x:c r="W301" t="n">
        <x:v>7</x:v>
      </x:c>
      <x:c r="X301" s="18" t="n">
        <x:v>40.42857142857143</x:v>
      </x:c>
      <x:c r="Y301" s="18" t="n">
        <x:v>96.57142857142857</x:v>
      </x:c>
      <x:c r="Z301" s="18" t="n">
        <x:v>3.6666666666666665</x:v>
      </x:c>
      <x:c r="AA301" t="n">
        <x:v>0</x:v>
      </x:c>
    </x:row>
    <x:row r="302">
      <x:c r="A302" t="str">
        <x:v>A-8adedc</x:v>
      </x:c>
      <x:c r="B302" t="str">
        <x:v>Company_300</x:v>
      </x:c>
      <x:c r="C302" t="str">
        <x:v>EdTech</x:v>
      </x:c>
      <x:c r="D302" t="str">
        <x:v>US</x:v>
      </x:c>
      <x:c r="E302" s="14" t="n">
        <x:v>45333</x:v>
      </x:c>
      <x:c r="F302" t="str">
        <x:v>2024-02</x:v>
      </x:c>
      <x:c r="G302" t="str">
        <x:v>event</x:v>
      </x:c>
      <x:c r="H302" t="str">
        <x:v>Basic</x:v>
      </x:c>
      <x:c r="I302" t="n">
        <x:v>4</x:v>
      </x:c>
      <x:c r="J302" s="1" t="b">
        <x:v>1</x:v>
      </x:c>
      <x:c r="K302" t="str">
        <x:v>Churned</x:v>
      </x:c>
      <x:c r="L302" t="n">
        <x:v>324</x:v>
      </x:c>
      <x:c r="M302" t="str"/>
      <x:c r="N302" t="n">
        <x:v>0</x:v>
      </x:c>
      <x:c r="O302" t="n">
        <x:v>14</x:v>
      </x:c>
      <x:c r="P302" s="16" t="n">
        <x:v>13801</x:v>
      </x:c>
      <x:c r="Q302" t="n">
        <x:v>0</x:v>
      </x:c>
      <x:c r="R302" t="n">
        <x:v>0</x:v>
      </x:c>
      <x:c r="S302" t="n">
        <x:v>583</x:v>
      </x:c>
      <x:c r="T302" s="18" t="n">
        <x:v>46.110277777777775</x:v>
      </x:c>
      <x:c r="U302" t="n">
        <x:v>33</x:v>
      </x:c>
      <x:c r="V302" t="n">
        <x:v>32</x:v>
      </x:c>
      <x:c r="W302" t="n">
        <x:v>4</x:v>
      </x:c>
      <x:c r="X302" s="18" t="n">
        <x:v>49.25</x:v>
      </x:c>
      <x:c r="Y302" s="18" t="n">
        <x:v>56.75</x:v>
      </x:c>
      <x:c r="Z302" s="18" t="n">
        <x:v>4</x:v>
      </x:c>
      <x:c r="AA302" t="n">
        <x:v>0</x:v>
      </x:c>
    </x:row>
    <x:row r="303">
      <x:c r="A303" t="str">
        <x:v>A-2edab2</x:v>
      </x:c>
      <x:c r="B303" t="str">
        <x:v>Company_301</x:v>
      </x:c>
      <x:c r="C303" t="str">
        <x:v>HealthTech</x:v>
      </x:c>
      <x:c r="D303" t="str">
        <x:v>US</x:v>
      </x:c>
      <x:c r="E303" s="14" t="n">
        <x:v>45247</x:v>
      </x:c>
      <x:c r="F303" t="str">
        <x:v>2023-11</x:v>
      </x:c>
      <x:c r="G303" t="str">
        <x:v>event</x:v>
      </x:c>
      <x:c r="H303" t="str">
        <x:v>Enterprise</x:v>
      </x:c>
      <x:c r="I303" t="n">
        <x:v>17</x:v>
      </x:c>
      <x:c r="J303" s="1" t="b">
        <x:v>0</x:v>
      </x:c>
      <x:c r="K303" t="str">
        <x:v>Active</x:v>
      </x:c>
      <x:c r="L303" t="n">
        <x:v>410</x:v>
      </x:c>
      <x:c r="M303" t="str"/>
      <x:c r="N303" t="n">
        <x:v>2</x:v>
      </x:c>
      <x:c r="O303" t="n">
        <x:v>10</x:v>
      </x:c>
      <x:c r="P303" s="16" t="n">
        <x:v>10557</x:v>
      </x:c>
      <x:c r="Q303" t="n">
        <x:v>1</x:v>
      </x:c>
      <x:c r="R303" t="n">
        <x:v>0</x:v>
      </x:c>
      <x:c r="S303" t="n">
        <x:v>487</x:v>
      </x:c>
      <x:c r="T303" s="18" t="n">
        <x:v>44.66777777777778</x:v>
      </x:c>
      <x:c r="U303" t="n">
        <x:v>26</x:v>
      </x:c>
      <x:c r="V303" t="n">
        <x:v>28</x:v>
      </x:c>
      <x:c r="W303" t="n">
        <x:v>4</x:v>
      </x:c>
      <x:c r="X303" s="18" t="n">
        <x:v>30</x:v>
      </x:c>
      <x:c r="Y303" s="18" t="n">
        <x:v>102.25</x:v>
      </x:c>
      <x:c r="Z303" s="18" t="n">
        <x:v>3</x:v>
      </x:c>
      <x:c r="AA303" t="n">
        <x:v>0</x:v>
      </x:c>
    </x:row>
    <x:row r="304">
      <x:c r="A304" t="str">
        <x:v>A-149a69</x:v>
      </x:c>
      <x:c r="B304" t="str">
        <x:v>Company_302</x:v>
      </x:c>
      <x:c r="C304" t="str">
        <x:v>DevTools</x:v>
      </x:c>
      <x:c r="D304" t="str">
        <x:v>US</x:v>
      </x:c>
      <x:c r="E304" s="14" t="n">
        <x:v>45582</x:v>
      </x:c>
      <x:c r="F304" t="str">
        <x:v>2024-10</x:v>
      </x:c>
      <x:c r="G304" t="str">
        <x:v>event</x:v>
      </x:c>
      <x:c r="H304" t="str">
        <x:v>Basic</x:v>
      </x:c>
      <x:c r="I304" t="n">
        <x:v>34</x:v>
      </x:c>
      <x:c r="J304" s="1" t="b">
        <x:v>0</x:v>
      </x:c>
      <x:c r="K304" t="str">
        <x:v>Active</x:v>
      </x:c>
      <x:c r="L304" t="n">
        <x:v>75</x:v>
      </x:c>
      <x:c r="M304" t="str"/>
      <x:c r="N304" t="n">
        <x:v>1</x:v>
      </x:c>
      <x:c r="O304" t="n">
        <x:v>3</x:v>
      </x:c>
      <x:c r="P304" s="16" t="n">
        <x:v>8058</x:v>
      </x:c>
      <x:c r="Q304" t="n">
        <x:v>0</x:v>
      </x:c>
      <x:c r="R304" t="n">
        <x:v>0</x:v>
      </x:c>
      <x:c r="S304" t="n">
        <x:v>208</x:v>
      </x:c>
      <x:c r="T304" s="18" t="n">
        <x:v>16.63722222222222</x:v>
      </x:c>
      <x:c r="U304" t="n">
        <x:v>9</x:v>
      </x:c>
      <x:c r="V304" t="n">
        <x:v>18</x:v>
      </x:c>
      <x:c r="W304" t="n">
        <x:v>8</x:v>
      </x:c>
      <x:c r="X304" s="18" t="n">
        <x:v>33.875</x:v>
      </x:c>
      <x:c r="Y304" s="18" t="n">
        <x:v>120.875</x:v>
      </x:c>
      <x:c r="Z304" s="18" t="n">
        <x:v>4.2</x:v>
      </x:c>
      <x:c r="AA304" t="n">
        <x:v>0</x:v>
      </x:c>
    </x:row>
    <x:row r="305">
      <x:c r="A305" t="str">
        <x:v>A-a6d261</x:v>
      </x:c>
      <x:c r="B305" t="str">
        <x:v>Company_303</x:v>
      </x:c>
      <x:c r="C305" t="str">
        <x:v>FinTech</x:v>
      </x:c>
      <x:c r="D305" t="str">
        <x:v>CA</x:v>
      </x:c>
      <x:c r="E305" s="14" t="n">
        <x:v>45259</x:v>
      </x:c>
      <x:c r="F305" t="str">
        <x:v>2023-11</x:v>
      </x:c>
      <x:c r="G305" t="str">
        <x:v>other</x:v>
      </x:c>
      <x:c r="H305" t="str">
        <x:v>Pro</x:v>
      </x:c>
      <x:c r="I305" t="n">
        <x:v>9</x:v>
      </x:c>
      <x:c r="J305" s="1" t="b">
        <x:v>0</x:v>
      </x:c>
      <x:c r="K305" t="str">
        <x:v>Active</x:v>
      </x:c>
      <x:c r="L305" t="n">
        <x:v>398</x:v>
      </x:c>
      <x:c r="M305" t="str"/>
      <x:c r="N305" t="n">
        <x:v>1</x:v>
      </x:c>
      <x:c r="O305" t="n">
        <x:v>14</x:v>
      </x:c>
      <x:c r="P305" s="16" t="n">
        <x:v>17694</x:v>
      </x:c>
      <x:c r="Q305" t="n">
        <x:v>3</x:v>
      </x:c>
      <x:c r="R305" t="n">
        <x:v>0</x:v>
      </x:c>
      <x:c r="S305" t="n">
        <x:v>627</x:v>
      </x:c>
      <x:c r="T305" s="18" t="n">
        <x:v>52.56527777777778</x:v>
      </x:c>
      <x:c r="U305" t="n">
        <x:v>29</x:v>
      </x:c>
      <x:c r="V305" t="n">
        <x:v>36</x:v>
      </x:c>
      <x:c r="W305" t="n">
        <x:v>4</x:v>
      </x:c>
      <x:c r="X305" s="18" t="n">
        <x:v>40</x:v>
      </x:c>
      <x:c r="Y305" s="18" t="n">
        <x:v>63.25</x:v>
      </x:c>
      <x:c r="Z305" s="18" t="n">
        <x:v>4.666666666666667</x:v>
      </x:c>
      <x:c r="AA305" t="n">
        <x:v>1</x:v>
      </x:c>
    </x:row>
    <x:row r="306">
      <x:c r="A306" t="str">
        <x:v>A-443f6f</x:v>
      </x:c>
      <x:c r="B306" t="str">
        <x:v>Company_304</x:v>
      </x:c>
      <x:c r="C306" t="str">
        <x:v>Cybersecurity</x:v>
      </x:c>
      <x:c r="D306" t="str">
        <x:v>US</x:v>
      </x:c>
      <x:c r="E306" s="14" t="n">
        <x:v>45633</x:v>
      </x:c>
      <x:c r="F306" t="str">
        <x:v>2024-12</x:v>
      </x:c>
      <x:c r="G306" t="str">
        <x:v>organic</x:v>
      </x:c>
      <x:c r="H306" t="str">
        <x:v>Basic</x:v>
      </x:c>
      <x:c r="I306" t="n">
        <x:v>19</x:v>
      </x:c>
      <x:c r="J306" s="1" t="b">
        <x:v>0</x:v>
      </x:c>
      <x:c r="K306" t="str">
        <x:v>Active</x:v>
      </x:c>
      <x:c r="L306" t="n">
        <x:v>24</x:v>
      </x:c>
      <x:c r="M306" t="str"/>
      <x:c r="N306" t="n">
        <x:v>0</x:v>
      </x:c>
      <x:c r="O306" t="n">
        <x:v>9</x:v>
      </x:c>
      <x:c r="P306" s="16" t="n">
        <x:v>12663</x:v>
      </x:c>
      <x:c r="Q306" t="n">
        <x:v>1</x:v>
      </x:c>
      <x:c r="R306" t="n">
        <x:v>0</x:v>
      </x:c>
      <x:c r="S306" t="n">
        <x:v>527</x:v>
      </x:c>
      <x:c r="T306" s="18" t="n">
        <x:v>43.930277777777775</x:v>
      </x:c>
      <x:c r="U306" t="n">
        <x:v>28</x:v>
      </x:c>
      <x:c r="V306" t="n">
        <x:v>31</x:v>
      </x:c>
      <x:c r="W306" t="n">
        <x:v>4</x:v>
      </x:c>
      <x:c r="X306" s="18" t="n">
        <x:v>28</x:v>
      </x:c>
      <x:c r="Y306" s="18" t="n">
        <x:v>122.25</x:v>
      </x:c>
      <x:c r="Z306" s="18" t="n">
        <x:v>4.666666666666667</x:v>
      </x:c>
      <x:c r="AA306" t="n">
        <x:v>0</x:v>
      </x:c>
    </x:row>
    <x:row r="307">
      <x:c r="A307" t="str">
        <x:v>A-202b67</x:v>
      </x:c>
      <x:c r="B307" t="str">
        <x:v>Company_305</x:v>
      </x:c>
      <x:c r="C307" t="str">
        <x:v>HealthTech</x:v>
      </x:c>
      <x:c r="D307" t="str">
        <x:v>US</x:v>
      </x:c>
      <x:c r="E307" s="14" t="n">
        <x:v>45373</x:v>
      </x:c>
      <x:c r="F307" t="str">
        <x:v>2024-03</x:v>
      </x:c>
      <x:c r="G307" t="str">
        <x:v>organic</x:v>
      </x:c>
      <x:c r="H307" t="str">
        <x:v>Pro</x:v>
      </x:c>
      <x:c r="I307" t="n">
        <x:v>11</x:v>
      </x:c>
      <x:c r="J307" s="1" t="b">
        <x:v>0</x:v>
      </x:c>
      <x:c r="K307" t="str">
        <x:v>Active</x:v>
      </x:c>
      <x:c r="L307" t="n">
        <x:v>284</x:v>
      </x:c>
      <x:c r="M307" t="str"/>
      <x:c r="N307" t="n">
        <x:v>2</x:v>
      </x:c>
      <x:c r="O307" t="n">
        <x:v>9</x:v>
      </x:c>
      <x:c r="P307" s="16" t="n">
        <x:v>15979</x:v>
      </x:c>
      <x:c r="Q307" t="n">
        <x:v>1</x:v>
      </x:c>
      <x:c r="R307" t="n">
        <x:v>0</x:v>
      </x:c>
      <x:c r="S307" t="n">
        <x:v>447</x:v>
      </x:c>
      <x:c r="T307" s="18" t="n">
        <x:v>30.698333333333334</x:v>
      </x:c>
      <x:c r="U307" t="n">
        <x:v>40</x:v>
      </x:c>
      <x:c r="V307" t="n">
        <x:v>29</x:v>
      </x:c>
      <x:c r="W307" t="n">
        <x:v>4</x:v>
      </x:c>
      <x:c r="X307" s="18" t="n">
        <x:v>36.75</x:v>
      </x:c>
      <x:c r="Y307" s="18" t="n">
        <x:v>90.5</x:v>
      </x:c>
      <x:c r="Z307" s="18" t="n">
        <x:v>4.666666666666667</x:v>
      </x:c>
      <x:c r="AA307" t="n">
        <x:v>0</x:v>
      </x:c>
    </x:row>
    <x:row r="308">
      <x:c r="A308" t="str">
        <x:v>A-00bed1</x:v>
      </x:c>
      <x:c r="B308" t="str">
        <x:v>Company_306</x:v>
      </x:c>
      <x:c r="C308" t="str">
        <x:v>Cybersecurity</x:v>
      </x:c>
      <x:c r="D308" t="str">
        <x:v>US</x:v>
      </x:c>
      <x:c r="E308" s="14" t="n">
        <x:v>45244</x:v>
      </x:c>
      <x:c r="F308" t="str">
        <x:v>2023-11</x:v>
      </x:c>
      <x:c r="G308" t="str">
        <x:v>ads</x:v>
      </x:c>
      <x:c r="H308" t="str">
        <x:v>Basic</x:v>
      </x:c>
      <x:c r="I308" t="n">
        <x:v>28</x:v>
      </x:c>
      <x:c r="J308" s="1" t="b">
        <x:v>1</x:v>
      </x:c>
      <x:c r="K308" t="str">
        <x:v>Active</x:v>
      </x:c>
      <x:c r="L308" t="n">
        <x:v>413</x:v>
      </x:c>
      <x:c r="M308" t="str"/>
      <x:c r="N308" t="n">
        <x:v>1</x:v>
      </x:c>
      <x:c r="O308" t="n">
        <x:v>10</x:v>
      </x:c>
      <x:c r="P308" s="16" t="n">
        <x:v>33506</x:v>
      </x:c>
      <x:c r="Q308" t="n">
        <x:v>3</x:v>
      </x:c>
      <x:c r="R308" t="n">
        <x:v>0</x:v>
      </x:c>
      <x:c r="S308" t="n">
        <x:v>514</x:v>
      </x:c>
      <x:c r="T308" s="18" t="n">
        <x:v>39.92611111111111</x:v>
      </x:c>
      <x:c r="U308" t="n">
        <x:v>27</x:v>
      </x:c>
      <x:c r="V308" t="n">
        <x:v>32</x:v>
      </x:c>
      <x:c r="W308" t="n">
        <x:v>4</x:v>
      </x:c>
      <x:c r="X308" s="18" t="n">
        <x:v>31.75</x:v>
      </x:c>
      <x:c r="Y308" s="18" t="n">
        <x:v>106.25</x:v>
      </x:c>
      <x:c r="Z308" s="18" t="n">
        <x:v>4</x:v>
      </x:c>
      <x:c r="AA308" t="n">
        <x:v>0</x:v>
      </x:c>
    </x:row>
    <x:row r="309">
      <x:c r="A309" t="str">
        <x:v>A-ffc04f</x:v>
      </x:c>
      <x:c r="B309" t="str">
        <x:v>Company_307</x:v>
      </x:c>
      <x:c r="C309" t="str">
        <x:v>EdTech</x:v>
      </x:c>
      <x:c r="D309" t="str">
        <x:v>US</x:v>
      </x:c>
      <x:c r="E309" s="14" t="n">
        <x:v>45449</x:v>
      </x:c>
      <x:c r="F309" t="str">
        <x:v>2024-06</x:v>
      </x:c>
      <x:c r="G309" t="str">
        <x:v>ads</x:v>
      </x:c>
      <x:c r="H309" t="str">
        <x:v>Pro</x:v>
      </x:c>
      <x:c r="I309" t="n">
        <x:v>13</x:v>
      </x:c>
      <x:c r="J309" s="1" t="b">
        <x:v>0</x:v>
      </x:c>
      <x:c r="K309" t="str">
        <x:v>Active</x:v>
      </x:c>
      <x:c r="L309" t="n">
        <x:v>208</x:v>
      </x:c>
      <x:c r="M309" t="str"/>
      <x:c r="N309" t="n">
        <x:v>1</x:v>
      </x:c>
      <x:c r="O309" t="n">
        <x:v>15</x:v>
      </x:c>
      <x:c r="P309" s="16" t="n">
        <x:v>17393</x:v>
      </x:c>
      <x:c r="Q309" t="n">
        <x:v>0</x:v>
      </x:c>
      <x:c r="R309" t="n">
        <x:v>1</x:v>
      </x:c>
      <x:c r="S309" t="n">
        <x:v>857</x:v>
      </x:c>
      <x:c r="T309" s="18" t="n">
        <x:v>77.04083333333334</x:v>
      </x:c>
      <x:c r="U309" t="n">
        <x:v>64</x:v>
      </x:c>
      <x:c r="V309" t="n">
        <x:v>37</x:v>
      </x:c>
      <x:c r="W309" t="n">
        <x:v>7</x:v>
      </x:c>
      <x:c r="X309" s="18" t="n">
        <x:v>17.714285714285715</x:v>
      </x:c>
      <x:c r="Y309" s="18" t="n">
        <x:v>58.57142857142857</x:v>
      </x:c>
      <x:c r="Z309" s="18" t="n">
        <x:v>4.5</x:v>
      </x:c>
      <x:c r="AA309" t="n">
        <x:v>1</x:v>
      </x:c>
    </x:row>
    <x:row r="310">
      <x:c r="A310" t="str">
        <x:v>A-65c341</x:v>
      </x:c>
      <x:c r="B310" t="str">
        <x:v>Company_308</x:v>
      </x:c>
      <x:c r="C310" t="str">
        <x:v>FinTech</x:v>
      </x:c>
      <x:c r="D310" t="str">
        <x:v>US</x:v>
      </x:c>
      <x:c r="E310" s="14" t="n">
        <x:v>45286</x:v>
      </x:c>
      <x:c r="F310" t="str">
        <x:v>2023-12</x:v>
      </x:c>
      <x:c r="G310" t="str">
        <x:v>ads</x:v>
      </x:c>
      <x:c r="H310" t="str">
        <x:v>Pro</x:v>
      </x:c>
      <x:c r="I310" t="n">
        <x:v>11</x:v>
      </x:c>
      <x:c r="J310" s="1" t="b">
        <x:v>1</x:v>
      </x:c>
      <x:c r="K310" t="str">
        <x:v>Active</x:v>
      </x:c>
      <x:c r="L310" t="n">
        <x:v>371</x:v>
      </x:c>
      <x:c r="M310" t="str"/>
      <x:c r="N310" t="n">
        <x:v>2</x:v>
      </x:c>
      <x:c r="O310" t="n">
        <x:v>8</x:v>
      </x:c>
      <x:c r="P310" s="16" t="n">
        <x:v>22466</x:v>
      </x:c>
      <x:c r="Q310" t="n">
        <x:v>0</x:v>
      </x:c>
      <x:c r="R310" t="n">
        <x:v>0</x:v>
      </x:c>
      <x:c r="S310" t="n">
        <x:v>410</x:v>
      </x:c>
      <x:c r="T310" s="18" t="n">
        <x:v>40.852222222222224</x:v>
      </x:c>
      <x:c r="U310" t="n">
        <x:v>18</x:v>
      </x:c>
      <x:c r="V310" t="n">
        <x:v>25</x:v>
      </x:c>
      <x:c r="W310" t="n">
        <x:v>5</x:v>
      </x:c>
      <x:c r="X310" s="18" t="n">
        <x:v>41.4</x:v>
      </x:c>
      <x:c r="Y310" s="18" t="n">
        <x:v>87.8</x:v>
      </x:c>
      <x:c r="Z310" s="18" t="n">
        <x:v>4</x:v>
      </x:c>
      <x:c r="AA310" t="n">
        <x:v>0</x:v>
      </x:c>
    </x:row>
    <x:row r="311">
      <x:c r="A311" t="str">
        <x:v>A-dcc2f0</x:v>
      </x:c>
      <x:c r="B311" t="str">
        <x:v>Company_309</x:v>
      </x:c>
      <x:c r="C311" t="str">
        <x:v>FinTech</x:v>
      </x:c>
      <x:c r="D311" t="str">
        <x:v>UK</x:v>
      </x:c>
      <x:c r="E311" s="14" t="n">
        <x:v>45129</x:v>
      </x:c>
      <x:c r="F311" t="str">
        <x:v>2023-07</x:v>
      </x:c>
      <x:c r="G311" t="str">
        <x:v>organic</x:v>
      </x:c>
      <x:c r="H311" t="str">
        <x:v>Basic</x:v>
      </x:c>
      <x:c r="I311" t="n">
        <x:v>15</x:v>
      </x:c>
      <x:c r="J311" s="1" t="b">
        <x:v>0</x:v>
      </x:c>
      <x:c r="K311" t="str">
        <x:v>Active</x:v>
      </x:c>
      <x:c r="L311" t="n">
        <x:v>528</x:v>
      </x:c>
      <x:c r="M311" t="str"/>
      <x:c r="N311" t="n">
        <x:v>1</x:v>
      </x:c>
      <x:c r="O311" t="n">
        <x:v>15</x:v>
      </x:c>
      <x:c r="P311" s="16" t="n">
        <x:v>16758</x:v>
      </x:c>
      <x:c r="Q311" t="n">
        <x:v>2</x:v>
      </x:c>
      <x:c r="R311" t="n">
        <x:v>0</x:v>
      </x:c>
      <x:c r="S311" t="n">
        <x:v>833</x:v>
      </x:c>
      <x:c r="T311" s="18" t="n">
        <x:v>67.69416666666666</x:v>
      </x:c>
      <x:c r="U311" t="n">
        <x:v>26</x:v>
      </x:c>
      <x:c r="V311" t="n">
        <x:v>35</x:v>
      </x:c>
      <x:c r="W311" t="n">
        <x:v>2</x:v>
      </x:c>
      <x:c r="X311" s="18" t="n">
        <x:v>27</x:v>
      </x:c>
      <x:c r="Y311" s="18" t="n">
        <x:v>100</x:v>
      </x:c>
      <x:c r="Z311" s="18"/>
      <x:c r="AA311" t="n">
        <x:v>0</x:v>
      </x:c>
    </x:row>
    <x:row r="312">
      <x:c r="A312" t="str">
        <x:v>A-ced9aa</x:v>
      </x:c>
      <x:c r="B312" t="str">
        <x:v>Company_310</x:v>
      </x:c>
      <x:c r="C312" t="str">
        <x:v>DevTools</x:v>
      </x:c>
      <x:c r="D312" t="str">
        <x:v>US</x:v>
      </x:c>
      <x:c r="E312" s="14" t="n">
        <x:v>45570</x:v>
      </x:c>
      <x:c r="F312" t="str">
        <x:v>2024-10</x:v>
      </x:c>
      <x:c r="G312" t="str">
        <x:v>other</x:v>
      </x:c>
      <x:c r="H312" t="str">
        <x:v>Enterprise</x:v>
      </x:c>
      <x:c r="I312" t="n">
        <x:v>3</x:v>
      </x:c>
      <x:c r="J312" s="1" t="b">
        <x:v>0</x:v>
      </x:c>
      <x:c r="K312" t="str">
        <x:v>Active</x:v>
      </x:c>
      <x:c r="L312" t="n">
        <x:v>87</x:v>
      </x:c>
      <x:c r="M312" t="str"/>
      <x:c r="N312" t="n">
        <x:v>0</x:v>
      </x:c>
      <x:c r="O312" t="n">
        <x:v>11</x:v>
      </x:c>
      <x:c r="P312" s="16" t="n">
        <x:v>4697</x:v>
      </x:c>
      <x:c r="Q312" t="n">
        <x:v>0</x:v>
      </x:c>
      <x:c r="R312" t="n">
        <x:v>0</x:v>
      </x:c>
      <x:c r="S312" t="n">
        <x:v>531</x:v>
      </x:c>
      <x:c r="T312" s="18" t="n">
        <x:v>46.38055555555555</x:v>
      </x:c>
      <x:c r="U312" t="n">
        <x:v>39</x:v>
      </x:c>
      <x:c r="V312" t="n">
        <x:v>33</x:v>
      </x:c>
      <x:c r="W312" t="n">
        <x:v>7</x:v>
      </x:c>
      <x:c r="X312" s="18" t="n">
        <x:v>28.857142857142858</x:v>
      </x:c>
      <x:c r="Y312" s="18" t="n">
        <x:v>102.85714285714286</x:v>
      </x:c>
      <x:c r="Z312" s="18" t="n">
        <x:v>3</x:v>
      </x:c>
      <x:c r="AA312" t="n">
        <x:v>0</x:v>
      </x:c>
    </x:row>
    <x:row r="313">
      <x:c r="A313" t="str">
        <x:v>A-3d957b</x:v>
      </x:c>
      <x:c r="B313" t="str">
        <x:v>Company_311</x:v>
      </x:c>
      <x:c r="C313" t="str">
        <x:v>HealthTech</x:v>
      </x:c>
      <x:c r="D313" t="str">
        <x:v>UK</x:v>
      </x:c>
      <x:c r="E313" s="14" t="n">
        <x:v>45386</x:v>
      </x:c>
      <x:c r="F313" t="str">
        <x:v>2024-04</x:v>
      </x:c>
      <x:c r="G313" t="str">
        <x:v>other</x:v>
      </x:c>
      <x:c r="H313" t="str">
        <x:v>Pro</x:v>
      </x:c>
      <x:c r="I313" t="n">
        <x:v>14</x:v>
      </x:c>
      <x:c r="J313" s="1" t="b">
        <x:v>0</x:v>
      </x:c>
      <x:c r="K313" t="str">
        <x:v>Active</x:v>
      </x:c>
      <x:c r="L313" t="n">
        <x:v>271</x:v>
      </x:c>
      <x:c r="M313" t="str"/>
      <x:c r="N313" t="n">
        <x:v>1</x:v>
      </x:c>
      <x:c r="O313" t="n">
        <x:v>6</x:v>
      </x:c>
      <x:c r="P313" s="16" t="n">
        <x:v>9066</x:v>
      </x:c>
      <x:c r="Q313" t="n">
        <x:v>3</x:v>
      </x:c>
      <x:c r="R313" t="n">
        <x:v>0</x:v>
      </x:c>
      <x:c r="S313" t="n">
        <x:v>143</x:v>
      </x:c>
      <x:c r="T313" s="18" t="n">
        <x:v>12.13861111111111</x:v>
      </x:c>
      <x:c r="U313" t="n">
        <x:v>13</x:v>
      </x:c>
      <x:c r="V313" t="n">
        <x:v>13</x:v>
      </x:c>
      <x:c r="W313" t="n">
        <x:v>3</x:v>
      </x:c>
      <x:c r="X313" s="18" t="n">
        <x:v>41.333333333333336</x:v>
      </x:c>
      <x:c r="Y313" s="18" t="n">
        <x:v>79.33333333333333</x:v>
      </x:c>
      <x:c r="Z313" s="18" t="n">
        <x:v>3</x:v>
      </x:c>
      <x:c r="AA313" t="n">
        <x:v>0</x:v>
      </x:c>
    </x:row>
    <x:row r="314">
      <x:c r="A314" t="str">
        <x:v>A-89ee83</x:v>
      </x:c>
      <x:c r="B314" t="str">
        <x:v>Company_312</x:v>
      </x:c>
      <x:c r="C314" t="str">
        <x:v>Cybersecurity</x:v>
      </x:c>
      <x:c r="D314" t="str">
        <x:v>US</x:v>
      </x:c>
      <x:c r="E314" s="14" t="n">
        <x:v>45569</x:v>
      </x:c>
      <x:c r="F314" t="str">
        <x:v>2024-10</x:v>
      </x:c>
      <x:c r="G314" t="str">
        <x:v>organic</x:v>
      </x:c>
      <x:c r="H314" t="str">
        <x:v>Pro</x:v>
      </x:c>
      <x:c r="I314" t="n">
        <x:v>1</x:v>
      </x:c>
      <x:c r="J314" s="1" t="b">
        <x:v>0</x:v>
      </x:c>
      <x:c r="K314" t="str">
        <x:v>Churned</x:v>
      </x:c>
      <x:c r="L314" t="n">
        <x:v>88</x:v>
      </x:c>
      <x:c r="M314" t="str"/>
      <x:c r="N314" t="n">
        <x:v>0</x:v>
      </x:c>
      <x:c r="O314" t="n">
        <x:v>11</x:v>
      </x:c>
      <x:c r="P314" s="16" t="n">
        <x:v>20140</x:v>
      </x:c>
      <x:c r="Q314" t="n">
        <x:v>3</x:v>
      </x:c>
      <x:c r="R314" t="n">
        <x:v>0</x:v>
      </x:c>
      <x:c r="S314" t="n">
        <x:v>565</x:v>
      </x:c>
      <x:c r="T314" s="18" t="n">
        <x:v>47.95166666666667</x:v>
      </x:c>
      <x:c r="U314" t="n">
        <x:v>26</x:v>
      </x:c>
      <x:c r="V314" t="n">
        <x:v>28</x:v>
      </x:c>
      <x:c r="W314" t="n">
        <x:v>5</x:v>
      </x:c>
      <x:c r="X314" s="18" t="n">
        <x:v>21.8</x:v>
      </x:c>
      <x:c r="Y314" s="18" t="n">
        <x:v>66.2</x:v>
      </x:c>
      <x:c r="Z314" s="18" t="n">
        <x:v>4</x:v>
      </x:c>
      <x:c r="AA314" t="n">
        <x:v>1</x:v>
      </x:c>
    </x:row>
    <x:row r="315">
      <x:c r="A315" t="str">
        <x:v>A-883b7d</x:v>
      </x:c>
      <x:c r="B315" t="str">
        <x:v>Company_313</x:v>
      </x:c>
      <x:c r="C315" t="str">
        <x:v>Cybersecurity</x:v>
      </x:c>
      <x:c r="D315" t="str">
        <x:v>IN</x:v>
      </x:c>
      <x:c r="E315" s="14" t="n">
        <x:v>45379</x:v>
      </x:c>
      <x:c r="F315" t="str">
        <x:v>2024-03</x:v>
      </x:c>
      <x:c r="G315" t="str">
        <x:v>other</x:v>
      </x:c>
      <x:c r="H315" t="str">
        <x:v>Basic</x:v>
      </x:c>
      <x:c r="I315" t="n">
        <x:v>17</x:v>
      </x:c>
      <x:c r="J315" s="1" t="b">
        <x:v>0</x:v>
      </x:c>
      <x:c r="K315" t="str">
        <x:v>Active</x:v>
      </x:c>
      <x:c r="L315" t="n">
        <x:v>278</x:v>
      </x:c>
      <x:c r="M315" t="str"/>
      <x:c r="N315" t="n">
        <x:v>0</x:v>
      </x:c>
      <x:c r="O315" t="n">
        <x:v>12</x:v>
      </x:c>
      <x:c r="P315" s="16" t="n">
        <x:v>28515</x:v>
      </x:c>
      <x:c r="Q315" t="n">
        <x:v>0</x:v>
      </x:c>
      <x:c r="R315" t="n">
        <x:v>0</x:v>
      </x:c>
      <x:c r="S315" t="n">
        <x:v>644</x:v>
      </x:c>
      <x:c r="T315" s="18" t="n">
        <x:v>52.64277777777778</x:v>
      </x:c>
      <x:c r="U315" t="n">
        <x:v>40</x:v>
      </x:c>
      <x:c r="V315" t="n">
        <x:v>35</x:v>
      </x:c>
      <x:c r="W315" t="n">
        <x:v>7</x:v>
      </x:c>
      <x:c r="X315" s="18" t="n">
        <x:v>25.571428571428573</x:v>
      </x:c>
      <x:c r="Y315" s="18" t="n">
        <x:v>62.285714285714285</x:v>
      </x:c>
      <x:c r="Z315" s="18" t="n">
        <x:v>3.6</x:v>
      </x:c>
      <x:c r="AA315" t="n">
        <x:v>1</x:v>
      </x:c>
    </x:row>
    <x:row r="316">
      <x:c r="A316" t="str">
        <x:v>A-dcc3f1</x:v>
      </x:c>
      <x:c r="B316" t="str">
        <x:v>Company_314</x:v>
      </x:c>
      <x:c r="C316" t="str">
        <x:v>HealthTech</x:v>
      </x:c>
      <x:c r="D316" t="str">
        <x:v>US</x:v>
      </x:c>
      <x:c r="E316" s="14" t="n">
        <x:v>45287</x:v>
      </x:c>
      <x:c r="F316" t="str">
        <x:v>2023-12</x:v>
      </x:c>
      <x:c r="G316" t="str">
        <x:v>event</x:v>
      </x:c>
      <x:c r="H316" t="str">
        <x:v>Pro</x:v>
      </x:c>
      <x:c r="I316" t="n">
        <x:v>21</x:v>
      </x:c>
      <x:c r="J316" s="1" t="b">
        <x:v>0</x:v>
      </x:c>
      <x:c r="K316" t="str">
        <x:v>Active</x:v>
      </x:c>
      <x:c r="L316" t="n">
        <x:v>370</x:v>
      </x:c>
      <x:c r="M316" t="str"/>
      <x:c r="N316" t="n">
        <x:v>2</x:v>
      </x:c>
      <x:c r="O316" t="n">
        <x:v>8</x:v>
      </x:c>
      <x:c r="P316" s="16" t="n">
        <x:v>12747</x:v>
      </x:c>
      <x:c r="Q316" t="n">
        <x:v>0</x:v>
      </x:c>
      <x:c r="R316" t="n">
        <x:v>1</x:v>
      </x:c>
      <x:c r="S316" t="n">
        <x:v>500</x:v>
      </x:c>
      <x:c r="T316" s="18" t="n">
        <x:v>38.321666666666665</x:v>
      </x:c>
      <x:c r="U316" t="n">
        <x:v>32</x:v>
      </x:c>
      <x:c r="V316" t="n">
        <x:v>31</x:v>
      </x:c>
      <x:c r="W316" t="n">
        <x:v>9</x:v>
      </x:c>
      <x:c r="X316" s="18" t="n">
        <x:v>35.666666666666664</x:v>
      </x:c>
      <x:c r="Y316" s="18" t="n">
        <x:v>83.44444444444444</x:v>
      </x:c>
      <x:c r="Z316" s="18" t="n">
        <x:v>3.8</x:v>
      </x:c>
      <x:c r="AA316" t="n">
        <x:v>0</x:v>
      </x:c>
    </x:row>
    <x:row r="317">
      <x:c r="A317" t="str">
        <x:v>A-c62e55</x:v>
      </x:c>
      <x:c r="B317" t="str">
        <x:v>Company_315</x:v>
      </x:c>
      <x:c r="C317" t="str">
        <x:v>EdTech</x:v>
      </x:c>
      <x:c r="D317" t="str">
        <x:v>US</x:v>
      </x:c>
      <x:c r="E317" s="14" t="n">
        <x:v>44965</x:v>
      </x:c>
      <x:c r="F317" t="str">
        <x:v>2023-02</x:v>
      </x:c>
      <x:c r="G317" t="str">
        <x:v>partner</x:v>
      </x:c>
      <x:c r="H317" t="str">
        <x:v>Basic</x:v>
      </x:c>
      <x:c r="I317" t="n">
        <x:v>1</x:v>
      </x:c>
      <x:c r="J317" s="1" t="b">
        <x:v>1</x:v>
      </x:c>
      <x:c r="K317" t="str">
        <x:v>Active</x:v>
      </x:c>
      <x:c r="L317" t="n">
        <x:v>692</x:v>
      </x:c>
      <x:c r="M317" t="str"/>
      <x:c r="N317" t="n">
        <x:v>0</x:v>
      </x:c>
      <x:c r="O317" t="n">
        <x:v>9</x:v>
      </x:c>
      <x:c r="P317" s="16" t="n">
        <x:v>11902</x:v>
      </x:c>
      <x:c r="Q317" t="n">
        <x:v>1</x:v>
      </x:c>
      <x:c r="R317" t="n">
        <x:v>0</x:v>
      </x:c>
      <x:c r="S317" t="n">
        <x:v>337</x:v>
      </x:c>
      <x:c r="T317" s="18" t="n">
        <x:v>24.179166666666667</x:v>
      </x:c>
      <x:c r="U317" t="n">
        <x:v>13</x:v>
      </x:c>
      <x:c r="V317" t="n">
        <x:v>24</x:v>
      </x:c>
      <x:c r="W317" t="n">
        <x:v>4</x:v>
      </x:c>
      <x:c r="X317" s="18" t="n">
        <x:v>27.5</x:v>
      </x:c>
      <x:c r="Y317" s="18" t="n">
        <x:v>101.25</x:v>
      </x:c>
      <x:c r="Z317" s="18" t="n">
        <x:v>4</x:v>
      </x:c>
      <x:c r="AA317" t="n">
        <x:v>0</x:v>
      </x:c>
    </x:row>
    <x:row r="318">
      <x:c r="A318" t="str">
        <x:v>A-e4144b</x:v>
      </x:c>
      <x:c r="B318" t="str">
        <x:v>Company_316</x:v>
      </x:c>
      <x:c r="C318" t="str">
        <x:v>EdTech</x:v>
      </x:c>
      <x:c r="D318" t="str">
        <x:v>UK</x:v>
      </x:c>
      <x:c r="E318" s="14" t="n">
        <x:v>45587</x:v>
      </x:c>
      <x:c r="F318" t="str">
        <x:v>2024-10</x:v>
      </x:c>
      <x:c r="G318" t="str">
        <x:v>other</x:v>
      </x:c>
      <x:c r="H318" t="str">
        <x:v>Pro</x:v>
      </x:c>
      <x:c r="I318" t="n">
        <x:v>41</x:v>
      </x:c>
      <x:c r="J318" s="1" t="b">
        <x:v>0</x:v>
      </x:c>
      <x:c r="K318" t="str">
        <x:v>Active</x:v>
      </x:c>
      <x:c r="L318" t="n">
        <x:v>70</x:v>
      </x:c>
      <x:c r="M318" t="str"/>
      <x:c r="N318" t="n">
        <x:v>0</x:v>
      </x:c>
      <x:c r="O318" t="n">
        <x:v>10</x:v>
      </x:c>
      <x:c r="P318" s="16" t="n">
        <x:v>35424</x:v>
      </x:c>
      <x:c r="Q318" t="n">
        <x:v>1</x:v>
      </x:c>
      <x:c r="R318" t="n">
        <x:v>0</x:v>
      </x:c>
      <x:c r="S318" t="n">
        <x:v>439</x:v>
      </x:c>
      <x:c r="T318" s="18" t="n">
        <x:v>37.054722222222225</x:v>
      </x:c>
      <x:c r="U318" t="n">
        <x:v>21</x:v>
      </x:c>
      <x:c r="V318" t="n">
        <x:v>26</x:v>
      </x:c>
      <x:c r="W318" t="n">
        <x:v>3</x:v>
      </x:c>
      <x:c r="X318" s="18" t="n">
        <x:v>57</x:v>
      </x:c>
      <x:c r="Y318" s="18" t="n">
        <x:v>172.33333333333334</x:v>
      </x:c>
      <x:c r="Z318" s="18" t="n">
        <x:v>4</x:v>
      </x:c>
      <x:c r="AA318" t="n">
        <x:v>0</x:v>
      </x:c>
    </x:row>
    <x:row r="319">
      <x:c r="A319" t="str">
        <x:v>A-e40f45</x:v>
      </x:c>
      <x:c r="B319" t="str">
        <x:v>Company_317</x:v>
      </x:c>
      <x:c r="C319" t="str">
        <x:v>HealthTech</x:v>
      </x:c>
      <x:c r="D319" t="str">
        <x:v>US</x:v>
      </x:c>
      <x:c r="E319" s="14" t="n">
        <x:v>45400</x:v>
      </x:c>
      <x:c r="F319" t="str">
        <x:v>2024-04</x:v>
      </x:c>
      <x:c r="G319" t="str">
        <x:v>organic</x:v>
      </x:c>
      <x:c r="H319" t="str">
        <x:v>Pro</x:v>
      </x:c>
      <x:c r="I319" t="n">
        <x:v>21</x:v>
      </x:c>
      <x:c r="J319" s="1" t="b">
        <x:v>0</x:v>
      </x:c>
      <x:c r="K319" t="str">
        <x:v>Active</x:v>
      </x:c>
      <x:c r="L319" t="n">
        <x:v>257</x:v>
      </x:c>
      <x:c r="M319" t="str"/>
      <x:c r="N319" t="n">
        <x:v>1</x:v>
      </x:c>
      <x:c r="O319" t="n">
        <x:v>7</x:v>
      </x:c>
      <x:c r="P319" s="16" t="n">
        <x:v>11426</x:v>
      </x:c>
      <x:c r="Q319" t="n">
        <x:v>3</x:v>
      </x:c>
      <x:c r="R319" t="n">
        <x:v>0</x:v>
      </x:c>
      <x:c r="S319" t="n">
        <x:v>401</x:v>
      </x:c>
      <x:c r="T319" s="18" t="n">
        <x:v>34.153888888888886</x:v>
      </x:c>
      <x:c r="U319" t="n">
        <x:v>26</x:v>
      </x:c>
      <x:c r="V319" t="n">
        <x:v>29</x:v>
      </x:c>
      <x:c r="W319" t="n">
        <x:v>7</x:v>
      </x:c>
      <x:c r="X319" s="18" t="n">
        <x:v>26.714285714285715</x:v>
      </x:c>
      <x:c r="Y319" s="18" t="n">
        <x:v>96.28571428571429</x:v>
      </x:c>
      <x:c r="Z319" s="18" t="n">
        <x:v>4.333333333333333</x:v>
      </x:c>
      <x:c r="AA319" t="n">
        <x:v>0</x:v>
      </x:c>
    </x:row>
    <x:row r="320">
      <x:c r="A320" t="str">
        <x:v>A-96215d</x:v>
      </x:c>
      <x:c r="B320" t="str">
        <x:v>Company_318</x:v>
      </x:c>
      <x:c r="C320" t="str">
        <x:v>FinTech</x:v>
      </x:c>
      <x:c r="D320" t="str">
        <x:v>US</x:v>
      </x:c>
      <x:c r="E320" s="14" t="n">
        <x:v>45512</x:v>
      </x:c>
      <x:c r="F320" t="str">
        <x:v>2024-08</x:v>
      </x:c>
      <x:c r="G320" t="str">
        <x:v>event</x:v>
      </x:c>
      <x:c r="H320" t="str">
        <x:v>Enterprise</x:v>
      </x:c>
      <x:c r="I320" t="n">
        <x:v>10</x:v>
      </x:c>
      <x:c r="J320" s="1" t="b">
        <x:v>0</x:v>
      </x:c>
      <x:c r="K320" t="str">
        <x:v>Active</x:v>
      </x:c>
      <x:c r="L320" t="n">
        <x:v>145</x:v>
      </x:c>
      <x:c r="M320" t="str"/>
      <x:c r="N320" t="n">
        <x:v>0</x:v>
      </x:c>
      <x:c r="O320" t="n">
        <x:v>6</x:v>
      </x:c>
      <x:c r="P320" s="16" t="n">
        <x:v>10312</x:v>
      </x:c>
      <x:c r="Q320" t="n">
        <x:v>1</x:v>
      </x:c>
      <x:c r="R320" t="n">
        <x:v>0</x:v>
      </x:c>
      <x:c r="S320" t="n">
        <x:v>347</x:v>
      </x:c>
      <x:c r="T320" s="18" t="n">
        <x:v>29.011666666666667</x:v>
      </x:c>
      <x:c r="U320" t="n">
        <x:v>21</x:v>
      </x:c>
      <x:c r="V320" t="n">
        <x:v>20</x:v>
      </x:c>
      <x:c r="W320" t="n">
        <x:v>1</x:v>
      </x:c>
      <x:c r="X320" s="18" t="n">
        <x:v>25</x:v>
      </x:c>
      <x:c r="Y320" s="18" t="n">
        <x:v>115</x:v>
      </x:c>
      <x:c r="Z320" s="18" t="n">
        <x:v>3</x:v>
      </x:c>
      <x:c r="AA320" t="n">
        <x:v>0</x:v>
      </x:c>
    </x:row>
    <x:row r="321">
      <x:c r="A321" t="str">
        <x:v>A-2b9d3e</x:v>
      </x:c>
      <x:c r="B321" t="str">
        <x:v>Company_319</x:v>
      </x:c>
      <x:c r="C321" t="str">
        <x:v>EdTech</x:v>
      </x:c>
      <x:c r="D321" t="str">
        <x:v>US</x:v>
      </x:c>
      <x:c r="E321" s="14" t="n">
        <x:v>45081</x:v>
      </x:c>
      <x:c r="F321" t="str">
        <x:v>2023-06</x:v>
      </x:c>
      <x:c r="G321" t="str">
        <x:v>partner</x:v>
      </x:c>
      <x:c r="H321" t="str">
        <x:v>Enterprise</x:v>
      </x:c>
      <x:c r="I321" t="n">
        <x:v>1</x:v>
      </x:c>
      <x:c r="J321" s="1" t="b">
        <x:v>0</x:v>
      </x:c>
      <x:c r="K321" t="str">
        <x:v>Active</x:v>
      </x:c>
      <x:c r="L321" t="n">
        <x:v>576</x:v>
      </x:c>
      <x:c r="M321" t="str"/>
      <x:c r="N321" t="n">
        <x:v>0</x:v>
      </x:c>
      <x:c r="O321" t="n">
        <x:v>9</x:v>
      </x:c>
      <x:c r="P321" s="16" t="n">
        <x:v>5142</x:v>
      </x:c>
      <x:c r="Q321" t="n">
        <x:v>1</x:v>
      </x:c>
      <x:c r="R321" t="n">
        <x:v>0</x:v>
      </x:c>
      <x:c r="S321" t="n">
        <x:v>444</x:v>
      </x:c>
      <x:c r="T321" s="18" t="n">
        <x:v>39.60805555555555</x:v>
      </x:c>
      <x:c r="U321" t="n">
        <x:v>19</x:v>
      </x:c>
      <x:c r="V321" t="n">
        <x:v>26</x:v>
      </x:c>
      <x:c r="W321" t="n">
        <x:v>3</x:v>
      </x:c>
      <x:c r="X321" s="18" t="n">
        <x:v>34.666666666666664</x:v>
      </x:c>
      <x:c r="Y321" s="18" t="n">
        <x:v>79.33333333333333</x:v>
      </x:c>
      <x:c r="Z321" s="18" t="n">
        <x:v>5</x:v>
      </x:c>
      <x:c r="AA321" t="n">
        <x:v>0</x:v>
      </x:c>
    </x:row>
    <x:row r="322">
      <x:c r="A322" t="str">
        <x:v>A-b7724f</x:v>
      </x:c>
      <x:c r="B322" t="str">
        <x:v>Company_320</x:v>
      </x:c>
      <x:c r="C322" t="str">
        <x:v>HealthTech</x:v>
      </x:c>
      <x:c r="D322" t="str">
        <x:v>UK</x:v>
      </x:c>
      <x:c r="E322" s="14" t="n">
        <x:v>45013</x:v>
      </x:c>
      <x:c r="F322" t="str">
        <x:v>2023-03</x:v>
      </x:c>
      <x:c r="G322" t="str">
        <x:v>organic</x:v>
      </x:c>
      <x:c r="H322" t="str">
        <x:v>Basic</x:v>
      </x:c>
      <x:c r="I322" t="n">
        <x:v>1</x:v>
      </x:c>
      <x:c r="J322" s="1" t="b">
        <x:v>0</x:v>
      </x:c>
      <x:c r="K322" t="str">
        <x:v>Active</x:v>
      </x:c>
      <x:c r="L322" t="n">
        <x:v>644</x:v>
      </x:c>
      <x:c r="M322" t="str"/>
      <x:c r="N322" t="n">
        <x:v>3</x:v>
      </x:c>
      <x:c r="O322" t="n">
        <x:v>8</x:v>
      </x:c>
      <x:c r="P322" s="16" t="n">
        <x:v>2774</x:v>
      </x:c>
      <x:c r="Q322" t="n">
        <x:v>0</x:v>
      </x:c>
      <x:c r="R322" t="n">
        <x:v>0</x:v>
      </x:c>
      <x:c r="S322" t="n">
        <x:v>380</x:v>
      </x:c>
      <x:c r="T322" s="18" t="n">
        <x:v>25.903055555555557</x:v>
      </x:c>
      <x:c r="U322" t="n">
        <x:v>16</x:v>
      </x:c>
      <x:c r="V322" t="n">
        <x:v>28</x:v>
      </x:c>
      <x:c r="W322" t="n">
        <x:v>3</x:v>
      </x:c>
      <x:c r="X322" s="18" t="n">
        <x:v>28.666666666666668</x:v>
      </x:c>
      <x:c r="Y322" s="18" t="n">
        <x:v>92</x:v>
      </x:c>
      <x:c r="Z322" s="18" t="n">
        <x:v>3</x:v>
      </x:c>
      <x:c r="AA322" t="n">
        <x:v>0</x:v>
      </x:c>
    </x:row>
    <x:row r="323">
      <x:c r="A323" t="str">
        <x:v>A-310452</x:v>
      </x:c>
      <x:c r="B323" t="str">
        <x:v>Company_321</x:v>
      </x:c>
      <x:c r="C323" t="str">
        <x:v>DevTools</x:v>
      </x:c>
      <x:c r="D323" t="str">
        <x:v>FR</x:v>
      </x:c>
      <x:c r="E323" s="14" t="n">
        <x:v>45651</x:v>
      </x:c>
      <x:c r="F323" t="str">
        <x:v>2024-12</x:v>
      </x:c>
      <x:c r="G323" t="str">
        <x:v>other</x:v>
      </x:c>
      <x:c r="H323" t="str">
        <x:v>Enterprise</x:v>
      </x:c>
      <x:c r="I323" t="n">
        <x:v>9</x:v>
      </x:c>
      <x:c r="J323" s="1" t="b">
        <x:v>0</x:v>
      </x:c>
      <x:c r="K323" t="str">
        <x:v>Active</x:v>
      </x:c>
      <x:c r="L323" t="n">
        <x:v>6</x:v>
      </x:c>
      <x:c r="M323" t="str"/>
      <x:c r="N323" t="n">
        <x:v>2</x:v>
      </x:c>
      <x:c r="O323" t="n">
        <x:v>5</x:v>
      </x:c>
      <x:c r="P323" s="16" t="n">
        <x:v>11003</x:v>
      </x:c>
      <x:c r="Q323" t="n">
        <x:v>0</x:v>
      </x:c>
      <x:c r="R323" t="n">
        <x:v>0</x:v>
      </x:c>
      <x:c r="S323" t="n">
        <x:v>268</x:v>
      </x:c>
      <x:c r="T323" s="18" t="n">
        <x:v>18.216944444444444</x:v>
      </x:c>
      <x:c r="U323" t="n">
        <x:v>16</x:v>
      </x:c>
      <x:c r="V323" t="n">
        <x:v>20</x:v>
      </x:c>
      <x:c r="W323" t="n">
        <x:v>5</x:v>
      </x:c>
      <x:c r="X323" s="18" t="n">
        <x:v>34.2</x:v>
      </x:c>
      <x:c r="Y323" s="18" t="n">
        <x:v>113.6</x:v>
      </x:c>
      <x:c r="Z323" s="18" t="n">
        <x:v>3.6</x:v>
      </x:c>
      <x:c r="AA323" t="n">
        <x:v>0</x:v>
      </x:c>
    </x:row>
    <x:row r="324">
      <x:c r="A324" t="str">
        <x:v>A-eb1312</x:v>
      </x:c>
      <x:c r="B324" t="str">
        <x:v>Company_322</x:v>
      </x:c>
      <x:c r="C324" t="str">
        <x:v>FinTech</x:v>
      </x:c>
      <x:c r="D324" t="str">
        <x:v>US</x:v>
      </x:c>
      <x:c r="E324" s="14" t="n">
        <x:v>45551</x:v>
      </x:c>
      <x:c r="F324" t="str">
        <x:v>2024-09</x:v>
      </x:c>
      <x:c r="G324" t="str">
        <x:v>partner</x:v>
      </x:c>
      <x:c r="H324" t="str">
        <x:v>Pro</x:v>
      </x:c>
      <x:c r="I324" t="n">
        <x:v>25</x:v>
      </x:c>
      <x:c r="J324" s="1" t="b">
        <x:v>0</x:v>
      </x:c>
      <x:c r="K324" t="str">
        <x:v>Active</x:v>
      </x:c>
      <x:c r="L324" t="n">
        <x:v>106</x:v>
      </x:c>
      <x:c r="M324" t="str"/>
      <x:c r="N324" t="n">
        <x:v>2</x:v>
      </x:c>
      <x:c r="O324" t="n">
        <x:v>12</x:v>
      </x:c>
      <x:c r="P324" s="16" t="n">
        <x:v>17672</x:v>
      </x:c>
      <x:c r="Q324" t="n">
        <x:v>1</x:v>
      </x:c>
      <x:c r="R324" t="n">
        <x:v>0</x:v>
      </x:c>
      <x:c r="S324" t="n">
        <x:v>663</x:v>
      </x:c>
      <x:c r="T324" s="18" t="n">
        <x:v>52.235277777777775</x:v>
      </x:c>
      <x:c r="U324" t="n">
        <x:v>38</x:v>
      </x:c>
      <x:c r="V324" t="n">
        <x:v>31</x:v>
      </x:c>
      <x:c r="W324" t="n">
        <x:v>1</x:v>
      </x:c>
      <x:c r="X324" s="18" t="n">
        <x:v>68</x:v>
      </x:c>
      <x:c r="Y324" s="18" t="n">
        <x:v>117</x:v>
      </x:c>
      <x:c r="Z324" s="18" t="n">
        <x:v>5</x:v>
      </x:c>
      <x:c r="AA324" t="n">
        <x:v>0</x:v>
      </x:c>
    </x:row>
    <x:row r="325">
      <x:c r="A325" t="str">
        <x:v>A-df1e44</x:v>
      </x:c>
      <x:c r="B325" t="str">
        <x:v>Company_323</x:v>
      </x:c>
      <x:c r="C325" t="str">
        <x:v>Cybersecurity</x:v>
      </x:c>
      <x:c r="D325" t="str">
        <x:v>UK</x:v>
      </x:c>
      <x:c r="E325" s="14" t="n">
        <x:v>45345</x:v>
      </x:c>
      <x:c r="F325" t="str">
        <x:v>2024-02</x:v>
      </x:c>
      <x:c r="G325" t="str">
        <x:v>organic</x:v>
      </x:c>
      <x:c r="H325" t="str">
        <x:v>Enterprise</x:v>
      </x:c>
      <x:c r="I325" t="n">
        <x:v>12</x:v>
      </x:c>
      <x:c r="J325" s="1" t="b">
        <x:v>0</x:v>
      </x:c>
      <x:c r="K325" t="str">
        <x:v>Active</x:v>
      </x:c>
      <x:c r="L325" t="n">
        <x:v>312</x:v>
      </x:c>
      <x:c r="M325" t="str"/>
      <x:c r="N325" t="n">
        <x:v>2</x:v>
      </x:c>
      <x:c r="O325" t="n">
        <x:v>11</x:v>
      </x:c>
      <x:c r="P325" s="16" t="n">
        <x:v>10719</x:v>
      </x:c>
      <x:c r="Q325" t="n">
        <x:v>1</x:v>
      </x:c>
      <x:c r="R325" t="n">
        <x:v>1</x:v>
      </x:c>
      <x:c r="S325" t="n">
        <x:v>420</x:v>
      </x:c>
      <x:c r="T325" s="18" t="n">
        <x:v>34.00888888888889</x:v>
      </x:c>
      <x:c r="U325" t="n">
        <x:v>14</x:v>
      </x:c>
      <x:c r="V325" t="n">
        <x:v>25</x:v>
      </x:c>
      <x:c r="W325" t="n">
        <x:v>2</x:v>
      </x:c>
      <x:c r="X325" s="18" t="n">
        <x:v>53</x:v>
      </x:c>
      <x:c r="Y325" s="18" t="n">
        <x:v>109.5</x:v>
      </x:c>
      <x:c r="Z325" s="18" t="n">
        <x:v>5</x:v>
      </x:c>
      <x:c r="AA325" t="n">
        <x:v>0</x:v>
      </x:c>
    </x:row>
    <x:row r="326">
      <x:c r="A326" t="str">
        <x:v>A-6a7c9d</x:v>
      </x:c>
      <x:c r="B326" t="str">
        <x:v>Company_324</x:v>
      </x:c>
      <x:c r="C326" t="str">
        <x:v>Cybersecurity</x:v>
      </x:c>
      <x:c r="D326" t="str">
        <x:v>US</x:v>
      </x:c>
      <x:c r="E326" s="14" t="n">
        <x:v>45589</x:v>
      </x:c>
      <x:c r="F326" t="str">
        <x:v>2024-10</x:v>
      </x:c>
      <x:c r="G326" t="str">
        <x:v>organic</x:v>
      </x:c>
      <x:c r="H326" t="str">
        <x:v>Enterprise</x:v>
      </x:c>
      <x:c r="I326" t="n">
        <x:v>26</x:v>
      </x:c>
      <x:c r="J326" s="1" t="b">
        <x:v>0</x:v>
      </x:c>
      <x:c r="K326" t="str">
        <x:v>Churned</x:v>
      </x:c>
      <x:c r="L326" t="n">
        <x:v>28</x:v>
      </x:c>
      <x:c r="M326" t="str">
        <x:v>support</x:v>
      </x:c>
      <x:c r="N326" t="n">
        <x:v>2</x:v>
      </x:c>
      <x:c r="O326" t="n">
        <x:v>5</x:v>
      </x:c>
      <x:c r="P326" s="16" t="n">
        <x:v>12135</x:v>
      </x:c>
      <x:c r="Q326" t="n">
        <x:v>0</x:v>
      </x:c>
      <x:c r="R326" t="n">
        <x:v>0</x:v>
      </x:c>
      <x:c r="S326" t="n">
        <x:v>189</x:v>
      </x:c>
      <x:c r="T326" s="18" t="n">
        <x:v>18.057222222222222</x:v>
      </x:c>
      <x:c r="U326" t="n">
        <x:v>6</x:v>
      </x:c>
      <x:c r="V326" t="n">
        <x:v>15</x:v>
      </x:c>
      <x:c r="W326" t="n">
        <x:v>3</x:v>
      </x:c>
      <x:c r="X326" s="18" t="n">
        <x:v>34.333333333333336</x:v>
      </x:c>
      <x:c r="Y326" s="18" t="n">
        <x:v>60</x:v>
      </x:c>
      <x:c r="Z326" s="18" t="n">
        <x:v>4</x:v>
      </x:c>
      <x:c r="AA326" t="n">
        <x:v>0</x:v>
      </x:c>
    </x:row>
    <x:row r="327">
      <x:c r="A327" t="str">
        <x:v>A-cbd1a3</x:v>
      </x:c>
      <x:c r="B327" t="str">
        <x:v>Company_325</x:v>
      </x:c>
      <x:c r="C327" t="str">
        <x:v>DevTools</x:v>
      </x:c>
      <x:c r="D327" t="str">
        <x:v>US</x:v>
      </x:c>
      <x:c r="E327" s="14" t="n">
        <x:v>45621</x:v>
      </x:c>
      <x:c r="F327" t="str">
        <x:v>2024-11</x:v>
      </x:c>
      <x:c r="G327" t="str">
        <x:v>other</x:v>
      </x:c>
      <x:c r="H327" t="str">
        <x:v>Basic</x:v>
      </x:c>
      <x:c r="I327" t="n">
        <x:v>6</x:v>
      </x:c>
      <x:c r="J327" s="1" t="b">
        <x:v>0</x:v>
      </x:c>
      <x:c r="K327" t="str">
        <x:v>Churned</x:v>
      </x:c>
      <x:c r="L327" t="n">
        <x:v>36</x:v>
      </x:c>
      <x:c r="M327" t="str"/>
      <x:c r="N327" t="n">
        <x:v>0</x:v>
      </x:c>
      <x:c r="O327" t="n">
        <x:v>10</x:v>
      </x:c>
      <x:c r="P327" s="16" t="n">
        <x:v>16351</x:v>
      </x:c>
      <x:c r="Q327" t="n">
        <x:v>2</x:v>
      </x:c>
      <x:c r="R327" t="n">
        <x:v>0</x:v>
      </x:c>
      <x:c r="S327" t="n">
        <x:v>465</x:v>
      </x:c>
      <x:c r="T327" s="18" t="n">
        <x:v>35.780277777777776</x:v>
      </x:c>
      <x:c r="U327" t="n">
        <x:v>32</x:v>
      </x:c>
      <x:c r="V327" t="n">
        <x:v>29</x:v>
      </x:c>
      <x:c r="W327" t="n">
        <x:v>4</x:v>
      </x:c>
      <x:c r="X327" s="18" t="n">
        <x:v>34.5</x:v>
      </x:c>
      <x:c r="Y327" s="18" t="n">
        <x:v>81.75</x:v>
      </x:c>
      <x:c r="Z327" s="18" t="n">
        <x:v>4</x:v>
      </x:c>
      <x:c r="AA327" t="n">
        <x:v>0</x:v>
      </x:c>
    </x:row>
    <x:row r="328">
      <x:c r="A328" t="str">
        <x:v>A-a8d89d</x:v>
      </x:c>
      <x:c r="B328" t="str">
        <x:v>Company_326</x:v>
      </x:c>
      <x:c r="C328" t="str">
        <x:v>EdTech</x:v>
      </x:c>
      <x:c r="D328" t="str">
        <x:v>US</x:v>
      </x:c>
      <x:c r="E328" s="14" t="n">
        <x:v>45268</x:v>
      </x:c>
      <x:c r="F328" t="str">
        <x:v>2023-12</x:v>
      </x:c>
      <x:c r="G328" t="str">
        <x:v>ads</x:v>
      </x:c>
      <x:c r="H328" t="str">
        <x:v>Pro</x:v>
      </x:c>
      <x:c r="I328" t="n">
        <x:v>13</x:v>
      </x:c>
      <x:c r="J328" s="1" t="b">
        <x:v>0</x:v>
      </x:c>
      <x:c r="K328" t="str">
        <x:v>Active</x:v>
      </x:c>
      <x:c r="L328" t="n">
        <x:v>389</x:v>
      </x:c>
      <x:c r="M328" t="str"/>
      <x:c r="N328" t="n">
        <x:v>2</x:v>
      </x:c>
      <x:c r="O328" t="n">
        <x:v>12</x:v>
      </x:c>
      <x:c r="P328" s="16" t="n">
        <x:v>29320</x:v>
      </x:c>
      <x:c r="Q328" t="n">
        <x:v>2</x:v>
      </x:c>
      <x:c r="R328" t="n">
        <x:v>0</x:v>
      </x:c>
      <x:c r="S328" t="n">
        <x:v>551</x:v>
      </x:c>
      <x:c r="T328" s="18" t="n">
        <x:v>47.49055555555555</x:v>
      </x:c>
      <x:c r="U328" t="n">
        <x:v>26</x:v>
      </x:c>
      <x:c r="V328" t="n">
        <x:v>32</x:v>
      </x:c>
      <x:c r="W328" t="n">
        <x:v>2</x:v>
      </x:c>
      <x:c r="X328" s="18" t="n">
        <x:v>44.5</x:v>
      </x:c>
      <x:c r="Y328" s="18" t="n">
        <x:v>139</x:v>
      </x:c>
      <x:c r="Z328" s="18" t="n">
        <x:v>5</x:v>
      </x:c>
      <x:c r="AA328" t="n">
        <x:v>0</x:v>
      </x:c>
    </x:row>
    <x:row r="329">
      <x:c r="A329" t="str">
        <x:v>A-600734</x:v>
      </x:c>
      <x:c r="B329" t="str">
        <x:v>Company_327</x:v>
      </x:c>
      <x:c r="C329" t="str">
        <x:v>DevTools</x:v>
      </x:c>
      <x:c r="D329" t="str">
        <x:v>US</x:v>
      </x:c>
      <x:c r="E329" s="14" t="n">
        <x:v>45244</x:v>
      </x:c>
      <x:c r="F329" t="str">
        <x:v>2023-11</x:v>
      </x:c>
      <x:c r="G329" t="str">
        <x:v>organic</x:v>
      </x:c>
      <x:c r="H329" t="str">
        <x:v>Pro</x:v>
      </x:c>
      <x:c r="I329" t="n">
        <x:v>29</x:v>
      </x:c>
      <x:c r="J329" s="1" t="b">
        <x:v>1</x:v>
      </x:c>
      <x:c r="K329" t="str">
        <x:v>Churned</x:v>
      </x:c>
      <x:c r="L329" t="n">
        <x:v>413</x:v>
      </x:c>
      <x:c r="M329" t="str"/>
      <x:c r="N329" t="n">
        <x:v>0</x:v>
      </x:c>
      <x:c r="O329" t="n">
        <x:v>13</x:v>
      </x:c>
      <x:c r="P329" s="16" t="n">
        <x:v>16711</x:v>
      </x:c>
      <x:c r="Q329" t="n">
        <x:v>2</x:v>
      </x:c>
      <x:c r="R329" t="n">
        <x:v>0</x:v>
      </x:c>
      <x:c r="S329" t="n">
        <x:v>660</x:v>
      </x:c>
      <x:c r="T329" s="18" t="n">
        <x:v>52.79888888888889</x:v>
      </x:c>
      <x:c r="U329" t="n">
        <x:v>30</x:v>
      </x:c>
      <x:c r="V329" t="n">
        <x:v>33</x:v>
      </x:c>
      <x:c r="W329" t="n">
        <x:v>7</x:v>
      </x:c>
      <x:c r="X329" s="18" t="n">
        <x:v>52.57142857142857</x:v>
      </x:c>
      <x:c r="Y329" s="18" t="n">
        <x:v>89.42857142857143</x:v>
      </x:c>
      <x:c r="Z329" s="18" t="n">
        <x:v>3.6666666666666665</x:v>
      </x:c>
      <x:c r="AA329" t="n">
        <x:v>1</x:v>
      </x:c>
    </x:row>
    <x:row r="330">
      <x:c r="A330" t="str">
        <x:v>A-86fc1d</x:v>
      </x:c>
      <x:c r="B330" t="str">
        <x:v>Company_328</x:v>
      </x:c>
      <x:c r="C330" t="str">
        <x:v>DevTools</x:v>
      </x:c>
      <x:c r="D330" t="str">
        <x:v>UK</x:v>
      </x:c>
      <x:c r="E330" s="14" t="n">
        <x:v>45499</x:v>
      </x:c>
      <x:c r="F330" t="str">
        <x:v>2024-07</x:v>
      </x:c>
      <x:c r="G330" t="str">
        <x:v>partner</x:v>
      </x:c>
      <x:c r="H330" t="str">
        <x:v>Basic</x:v>
      </x:c>
      <x:c r="I330" t="n">
        <x:v>26</x:v>
      </x:c>
      <x:c r="J330" s="1" t="b">
        <x:v>0</x:v>
      </x:c>
      <x:c r="K330" t="str">
        <x:v>Active</x:v>
      </x:c>
      <x:c r="L330" t="n">
        <x:v>158</x:v>
      </x:c>
      <x:c r="M330" t="str"/>
      <x:c r="N330" t="n">
        <x:v>1</x:v>
      </x:c>
      <x:c r="O330" t="n">
        <x:v>9</x:v>
      </x:c>
      <x:c r="P330" s="16" t="n">
        <x:v>14687</x:v>
      </x:c>
      <x:c r="Q330" t="n">
        <x:v>3</x:v>
      </x:c>
      <x:c r="R330" t="n">
        <x:v>0</x:v>
      </x:c>
      <x:c r="S330" t="n">
        <x:v>363</x:v>
      </x:c>
      <x:c r="T330" s="18" t="n">
        <x:v>30.863333333333333</x:v>
      </x:c>
      <x:c r="U330" t="n">
        <x:v>26</x:v>
      </x:c>
      <x:c r="V330" t="n">
        <x:v>26</x:v>
      </x:c>
      <x:c r="W330" t="n">
        <x:v>5</x:v>
      </x:c>
      <x:c r="X330" s="18" t="n">
        <x:v>27</x:v>
      </x:c>
      <x:c r="Y330" s="18" t="n">
        <x:v>59.2</x:v>
      </x:c>
      <x:c r="Z330" s="18" t="n">
        <x:v>4</x:v>
      </x:c>
      <x:c r="AA330" t="n">
        <x:v>0</x:v>
      </x:c>
    </x:row>
    <x:row r="331">
      <x:c r="A331" t="str">
        <x:v>A-78f02b</x:v>
      </x:c>
      <x:c r="B331" t="str">
        <x:v>Company_329</x:v>
      </x:c>
      <x:c r="C331" t="str">
        <x:v>HealthTech</x:v>
      </x:c>
      <x:c r="D331" t="str">
        <x:v>US</x:v>
      </x:c>
      <x:c r="E331" s="14" t="n">
        <x:v>45613</x:v>
      </x:c>
      <x:c r="F331" t="str">
        <x:v>2024-11</x:v>
      </x:c>
      <x:c r="G331" t="str">
        <x:v>event</x:v>
      </x:c>
      <x:c r="H331" t="str">
        <x:v>Enterprise</x:v>
      </x:c>
      <x:c r="I331" t="n">
        <x:v>11</x:v>
      </x:c>
      <x:c r="J331" s="1" t="b">
        <x:v>0</x:v>
      </x:c>
      <x:c r="K331" t="str">
        <x:v>Active</x:v>
      </x:c>
      <x:c r="L331" t="n">
        <x:v>44</x:v>
      </x:c>
      <x:c r="M331" t="str"/>
      <x:c r="N331" t="n">
        <x:v>2</x:v>
      </x:c>
      <x:c r="O331" t="n">
        <x:v>4</x:v>
      </x:c>
      <x:c r="P331" s="16" t="n">
        <x:v>15081</x:v>
      </x:c>
      <x:c r="Q331" t="n">
        <x:v>1</x:v>
      </x:c>
      <x:c r="R331" t="n">
        <x:v>0</x:v>
      </x:c>
      <x:c r="S331" t="n">
        <x:v>211</x:v>
      </x:c>
      <x:c r="T331" s="18" t="n">
        <x:v>17.319166666666668</x:v>
      </x:c>
      <x:c r="U331" t="n">
        <x:v>16</x:v>
      </x:c>
      <x:c r="V331" t="n">
        <x:v>17</x:v>
      </x:c>
      <x:c r="W331" t="n">
        <x:v>4</x:v>
      </x:c>
      <x:c r="X331" s="18" t="n">
        <x:v>45.75</x:v>
      </x:c>
      <x:c r="Y331" s="18" t="n">
        <x:v>55</x:v>
      </x:c>
      <x:c r="Z331" s="18" t="n">
        <x:v>4</x:v>
      </x:c>
      <x:c r="AA331" t="n">
        <x:v>0</x:v>
      </x:c>
    </x:row>
    <x:row r="332">
      <x:c r="A332" t="str">
        <x:v>A-acb7f7</x:v>
      </x:c>
      <x:c r="B332" t="str">
        <x:v>Company_330</x:v>
      </x:c>
      <x:c r="C332" t="str">
        <x:v>EdTech</x:v>
      </x:c>
      <x:c r="D332" t="str">
        <x:v>US</x:v>
      </x:c>
      <x:c r="E332" s="14" t="n">
        <x:v>45297</x:v>
      </x:c>
      <x:c r="F332" t="str">
        <x:v>2024-01</x:v>
      </x:c>
      <x:c r="G332" t="str">
        <x:v>ads</x:v>
      </x:c>
      <x:c r="H332" t="str">
        <x:v>Basic</x:v>
      </x:c>
      <x:c r="I332" t="n">
        <x:v>32</x:v>
      </x:c>
      <x:c r="J332" s="1" t="b">
        <x:v>0</x:v>
      </x:c>
      <x:c r="K332" t="str">
        <x:v>Active</x:v>
      </x:c>
      <x:c r="L332" t="n">
        <x:v>360</x:v>
      </x:c>
      <x:c r="M332" t="str"/>
      <x:c r="N332" t="n">
        <x:v>1</x:v>
      </x:c>
      <x:c r="O332" t="n">
        <x:v>12</x:v>
      </x:c>
      <x:c r="P332" s="16" t="n">
        <x:v>32574</x:v>
      </x:c>
      <x:c r="Q332" t="n">
        <x:v>2</x:v>
      </x:c>
      <x:c r="R332" t="n">
        <x:v>1</x:v>
      </x:c>
      <x:c r="S332" t="n">
        <x:v>612</x:v>
      </x:c>
      <x:c r="T332" s="18" t="n">
        <x:v>49.06333333333333</x:v>
      </x:c>
      <x:c r="U332" t="n">
        <x:v>36</x:v>
      </x:c>
      <x:c r="V332" t="n">
        <x:v>33</x:v>
      </x:c>
      <x:c r="W332" t="n">
        <x:v>3</x:v>
      </x:c>
      <x:c r="X332" s="18" t="n">
        <x:v>41</x:v>
      </x:c>
      <x:c r="Y332" s="18" t="n">
        <x:v>91</x:v>
      </x:c>
      <x:c r="Z332" s="18" t="n">
        <x:v>3.5</x:v>
      </x:c>
      <x:c r="AA332" t="n">
        <x:v>0</x:v>
      </x:c>
    </x:row>
    <x:row r="333">
      <x:c r="A333" t="str">
        <x:v>A-712f1c</x:v>
      </x:c>
      <x:c r="B333" t="str">
        <x:v>Company_331</x:v>
      </x:c>
      <x:c r="C333" t="str">
        <x:v>DevTools</x:v>
      </x:c>
      <x:c r="D333" t="str">
        <x:v>US</x:v>
      </x:c>
      <x:c r="E333" s="14" t="n">
        <x:v>45276</x:v>
      </x:c>
      <x:c r="F333" t="str">
        <x:v>2023-12</x:v>
      </x:c>
      <x:c r="G333" t="str">
        <x:v>ads</x:v>
      </x:c>
      <x:c r="H333" t="str">
        <x:v>Basic</x:v>
      </x:c>
      <x:c r="I333" t="n">
        <x:v>17</x:v>
      </x:c>
      <x:c r="J333" s="1" t="b">
        <x:v>0</x:v>
      </x:c>
      <x:c r="K333" t="str">
        <x:v>Churned</x:v>
      </x:c>
      <x:c r="L333" t="n">
        <x:v>313</x:v>
      </x:c>
      <x:c r="M333" t="str">
        <x:v>budget</x:v>
      </x:c>
      <x:c r="N333" t="n">
        <x:v>1</x:v>
      </x:c>
      <x:c r="O333" t="n">
        <x:v>12</x:v>
      </x:c>
      <x:c r="P333" s="16" t="n">
        <x:v>39616</x:v>
      </x:c>
      <x:c r="Q333" t="n">
        <x:v>2</x:v>
      </x:c>
      <x:c r="R333" t="n">
        <x:v>0</x:v>
      </x:c>
      <x:c r="S333" t="n">
        <x:v>631</x:v>
      </x:c>
      <x:c r="T333" s="18" t="n">
        <x:v>50.361666666666665</x:v>
      </x:c>
      <x:c r="U333" t="n">
        <x:v>34</x:v>
      </x:c>
      <x:c r="V333" t="n">
        <x:v>32</x:v>
      </x:c>
      <x:c r="W333" t="n">
        <x:v>6</x:v>
      </x:c>
      <x:c r="X333" s="18" t="n">
        <x:v>41.666666666666664</x:v>
      </x:c>
      <x:c r="Y333" s="18" t="n">
        <x:v>88.83333333333333</x:v>
      </x:c>
      <x:c r="Z333" s="18" t="n">
        <x:v>4</x:v>
      </x:c>
      <x:c r="AA333" t="n">
        <x:v>0</x:v>
      </x:c>
    </x:row>
    <x:row r="334">
      <x:c r="A334" t="str">
        <x:v>A-3793ee</x:v>
      </x:c>
      <x:c r="B334" t="str">
        <x:v>Company_332</x:v>
      </x:c>
      <x:c r="C334" t="str">
        <x:v>Cybersecurity</x:v>
      </x:c>
      <x:c r="D334" t="str">
        <x:v>CA</x:v>
      </x:c>
      <x:c r="E334" s="14" t="n">
        <x:v>45006</x:v>
      </x:c>
      <x:c r="F334" t="str">
        <x:v>2023-03</x:v>
      </x:c>
      <x:c r="G334" t="str">
        <x:v>organic</x:v>
      </x:c>
      <x:c r="H334" t="str">
        <x:v>Enterprise</x:v>
      </x:c>
      <x:c r="I334" t="n">
        <x:v>49</x:v>
      </x:c>
      <x:c r="J334" s="1" t="b">
        <x:v>1</x:v>
      </x:c>
      <x:c r="K334" t="str">
        <x:v>Active</x:v>
      </x:c>
      <x:c r="L334" t="n">
        <x:v>651</x:v>
      </x:c>
      <x:c r="M334" t="str"/>
      <x:c r="N334" t="n">
        <x:v>1</x:v>
      </x:c>
      <x:c r="O334" t="n">
        <x:v>7</x:v>
      </x:c>
      <x:c r="P334" s="16" t="n">
        <x:v>24304</x:v>
      </x:c>
      <x:c r="Q334" t="n">
        <x:v>1</x:v>
      </x:c>
      <x:c r="R334" t="n">
        <x:v>1</x:v>
      </x:c>
      <x:c r="S334" t="n">
        <x:v>352</x:v>
      </x:c>
      <x:c r="T334" s="18" t="n">
        <x:v>27.05027777777778</x:v>
      </x:c>
      <x:c r="U334" t="n">
        <x:v>11</x:v>
      </x:c>
      <x:c r="V334" t="n">
        <x:v>25</x:v>
      </x:c>
      <x:c r="W334" t="n">
        <x:v>4</x:v>
      </x:c>
      <x:c r="X334" s="18" t="n">
        <x:v>43.75</x:v>
      </x:c>
      <x:c r="Y334" s="18" t="n">
        <x:v>100.25</x:v>
      </x:c>
      <x:c r="Z334" s="18" t="n">
        <x:v>4</x:v>
      </x:c>
      <x:c r="AA334" t="n">
        <x:v>0</x:v>
      </x:c>
    </x:row>
    <x:row r="335">
      <x:c r="A335" t="str">
        <x:v>A-9a532a</x:v>
      </x:c>
      <x:c r="B335" t="str">
        <x:v>Company_333</x:v>
      </x:c>
      <x:c r="C335" t="str">
        <x:v>HealthTech</x:v>
      </x:c>
      <x:c r="D335" t="str">
        <x:v>US</x:v>
      </x:c>
      <x:c r="E335" s="14" t="n">
        <x:v>45479</x:v>
      </x:c>
      <x:c r="F335" t="str">
        <x:v>2024-07</x:v>
      </x:c>
      <x:c r="G335" t="str">
        <x:v>partner</x:v>
      </x:c>
      <x:c r="H335" t="str">
        <x:v>Enterprise</x:v>
      </x:c>
      <x:c r="I335" t="n">
        <x:v>11</x:v>
      </x:c>
      <x:c r="J335" s="1" t="b">
        <x:v>0</x:v>
      </x:c>
      <x:c r="K335" t="str">
        <x:v>Active</x:v>
      </x:c>
      <x:c r="L335" t="n">
        <x:v>178</x:v>
      </x:c>
      <x:c r="M335" t="str"/>
      <x:c r="N335" t="n">
        <x:v>0</x:v>
      </x:c>
      <x:c r="O335" t="n">
        <x:v>4</x:v>
      </x:c>
      <x:c r="P335" s="16" t="n">
        <x:v>10945</x:v>
      </x:c>
      <x:c r="Q335" t="n">
        <x:v>0</x:v>
      </x:c>
      <x:c r="R335" t="n">
        <x:v>0</x:v>
      </x:c>
      <x:c r="S335" t="n">
        <x:v>185</x:v>
      </x:c>
      <x:c r="T335" s="18" t="n">
        <x:v>20.99861111111111</x:v>
      </x:c>
      <x:c r="U335" t="n">
        <x:v>15</x:v>
      </x:c>
      <x:c r="V335" t="n">
        <x:v>16</x:v>
      </x:c>
      <x:c r="W335" t="n">
        <x:v>2</x:v>
      </x:c>
      <x:c r="X335" s="18" t="n">
        <x:v>57.5</x:v>
      </x:c>
      <x:c r="Y335" s="18" t="n">
        <x:v>128.5</x:v>
      </x:c>
      <x:c r="Z335" s="18"/>
      <x:c r="AA335" t="n">
        <x:v>0</x:v>
      </x:c>
    </x:row>
    <x:row r="336">
      <x:c r="A336" t="str">
        <x:v>A-2ebb4b</x:v>
      </x:c>
      <x:c r="B336" t="str">
        <x:v>Company_334</x:v>
      </x:c>
      <x:c r="C336" t="str">
        <x:v>HealthTech</x:v>
      </x:c>
      <x:c r="D336" t="str">
        <x:v>US</x:v>
      </x:c>
      <x:c r="E336" s="14" t="n">
        <x:v>45061</x:v>
      </x:c>
      <x:c r="F336" t="str">
        <x:v>2023-05</x:v>
      </x:c>
      <x:c r="G336" t="str">
        <x:v>ads</x:v>
      </x:c>
      <x:c r="H336" t="str">
        <x:v>Basic</x:v>
      </x:c>
      <x:c r="I336" t="n">
        <x:v>41</x:v>
      </x:c>
      <x:c r="J336" s="1" t="b">
        <x:v>0</x:v>
      </x:c>
      <x:c r="K336" t="str">
        <x:v>Active</x:v>
      </x:c>
      <x:c r="L336" t="n">
        <x:v>596</x:v>
      </x:c>
      <x:c r="M336" t="str"/>
      <x:c r="N336" t="n">
        <x:v>3</x:v>
      </x:c>
      <x:c r="O336" t="n">
        <x:v>10</x:v>
      </x:c>
      <x:c r="P336" s="16" t="n">
        <x:v>28679</x:v>
      </x:c>
      <x:c r="Q336" t="n">
        <x:v>1</x:v>
      </x:c>
      <x:c r="R336" t="n">
        <x:v>0</x:v>
      </x:c>
      <x:c r="S336" t="n">
        <x:v>488</x:v>
      </x:c>
      <x:c r="T336" s="18" t="n">
        <x:v>39.861666666666665</x:v>
      </x:c>
      <x:c r="U336" t="n">
        <x:v>33</x:v>
      </x:c>
      <x:c r="V336" t="n">
        <x:v>27</x:v>
      </x:c>
      <x:c r="W336" t="n">
        <x:v>2</x:v>
      </x:c>
      <x:c r="X336" s="18" t="n">
        <x:v>43.5</x:v>
      </x:c>
      <x:c r="Y336" s="18" t="n">
        <x:v>136.5</x:v>
      </x:c>
      <x:c r="Z336" s="18" t="n">
        <x:v>3</x:v>
      </x:c>
      <x:c r="AA336" t="n">
        <x:v>0</x:v>
      </x:c>
    </x:row>
    <x:row r="337">
      <x:c r="A337" t="str">
        <x:v>A-6843f2</x:v>
      </x:c>
      <x:c r="B337" t="str">
        <x:v>Company_335</x:v>
      </x:c>
      <x:c r="C337" t="str">
        <x:v>HealthTech</x:v>
      </x:c>
      <x:c r="D337" t="str">
        <x:v>CA</x:v>
      </x:c>
      <x:c r="E337" s="14" t="n">
        <x:v>45636</x:v>
      </x:c>
      <x:c r="F337" t="str">
        <x:v>2024-12</x:v>
      </x:c>
      <x:c r="G337" t="str">
        <x:v>ads</x:v>
      </x:c>
      <x:c r="H337" t="str">
        <x:v>Enterprise</x:v>
      </x:c>
      <x:c r="I337" t="n">
        <x:v>21</x:v>
      </x:c>
      <x:c r="J337" s="1" t="b">
        <x:v>0</x:v>
      </x:c>
      <x:c r="K337" t="str">
        <x:v>Active</x:v>
      </x:c>
      <x:c r="L337" t="n">
        <x:v>21</x:v>
      </x:c>
      <x:c r="M337" t="str"/>
      <x:c r="N337" t="n">
        <x:v>0</x:v>
      </x:c>
      <x:c r="O337" t="n">
        <x:v>9</x:v>
      </x:c>
      <x:c r="P337" s="16" t="n">
        <x:v>16520</x:v>
      </x:c>
      <x:c r="Q337" t="n">
        <x:v>0</x:v>
      </x:c>
      <x:c r="R337" t="n">
        <x:v>1</x:v>
      </x:c>
      <x:c r="S337" t="n">
        <x:v>481</x:v>
      </x:c>
      <x:c r="T337" s="18" t="n">
        <x:v>35.117777777777775</x:v>
      </x:c>
      <x:c r="U337" t="n">
        <x:v>17</x:v>
      </x:c>
      <x:c r="V337" t="n">
        <x:v>24</x:v>
      </x:c>
      <x:c r="W337" t="n">
        <x:v>2</x:v>
      </x:c>
      <x:c r="X337" s="18" t="n">
        <x:v>36.5</x:v>
      </x:c>
      <x:c r="Y337" s="18" t="n">
        <x:v>78</x:v>
      </x:c>
      <x:c r="Z337" s="18" t="n">
        <x:v>3</x:v>
      </x:c>
      <x:c r="AA337" t="n">
        <x:v>0</x:v>
      </x:c>
    </x:row>
    <x:row r="338">
      <x:c r="A338" t="str">
        <x:v>A-c9bb3e</x:v>
      </x:c>
      <x:c r="B338" t="str">
        <x:v>Company_336</x:v>
      </x:c>
      <x:c r="C338" t="str">
        <x:v>EdTech</x:v>
      </x:c>
      <x:c r="D338" t="str">
        <x:v>US</x:v>
      </x:c>
      <x:c r="E338" s="14" t="n">
        <x:v>45375</x:v>
      </x:c>
      <x:c r="F338" t="str">
        <x:v>2024-03</x:v>
      </x:c>
      <x:c r="G338" t="str">
        <x:v>ads</x:v>
      </x:c>
      <x:c r="H338" t="str">
        <x:v>Pro</x:v>
      </x:c>
      <x:c r="I338" t="n">
        <x:v>5</x:v>
      </x:c>
      <x:c r="J338" s="1" t="b">
        <x:v>0</x:v>
      </x:c>
      <x:c r="K338" t="str">
        <x:v>Active</x:v>
      </x:c>
      <x:c r="L338" t="n">
        <x:v>282</x:v>
      </x:c>
      <x:c r="M338" t="str"/>
      <x:c r="N338" t="n">
        <x:v>2</x:v>
      </x:c>
      <x:c r="O338" t="n">
        <x:v>10</x:v>
      </x:c>
      <x:c r="P338" s="16" t="n">
        <x:v>13502</x:v>
      </x:c>
      <x:c r="Q338" t="n">
        <x:v>1</x:v>
      </x:c>
      <x:c r="R338" t="n">
        <x:v>0</x:v>
      </x:c>
      <x:c r="S338" t="n">
        <x:v>474</x:v>
      </x:c>
      <x:c r="T338" s="18" t="n">
        <x:v>47.5425</x:v>
      </x:c>
      <x:c r="U338" t="n">
        <x:v>20</x:v>
      </x:c>
      <x:c r="V338" t="n">
        <x:v>27</x:v>
      </x:c>
      <x:c r="W338" t="n">
        <x:v>7</x:v>
      </x:c>
      <x:c r="X338" s="18" t="n">
        <x:v>27.714285714285715</x:v>
      </x:c>
      <x:c r="Y338" s="18" t="n">
        <x:v>86.14285714285714</x:v>
      </x:c>
      <x:c r="Z338" s="18" t="n">
        <x:v>4.2</x:v>
      </x:c>
      <x:c r="AA338" t="n">
        <x:v>1</x:v>
      </x:c>
    </x:row>
    <x:row r="339">
      <x:c r="A339" t="str">
        <x:v>A-4814a3</x:v>
      </x:c>
      <x:c r="B339" t="str">
        <x:v>Company_337</x:v>
      </x:c>
      <x:c r="C339" t="str">
        <x:v>Cybersecurity</x:v>
      </x:c>
      <x:c r="D339" t="str">
        <x:v>IN</x:v>
      </x:c>
      <x:c r="E339" s="14" t="n">
        <x:v>45552</x:v>
      </x:c>
      <x:c r="F339" t="str">
        <x:v>2024-09</x:v>
      </x:c>
      <x:c r="G339" t="str">
        <x:v>event</x:v>
      </x:c>
      <x:c r="H339" t="str">
        <x:v>Basic</x:v>
      </x:c>
      <x:c r="I339" t="n">
        <x:v>87</x:v>
      </x:c>
      <x:c r="J339" s="1" t="b">
        <x:v>0</x:v>
      </x:c>
      <x:c r="K339" t="str">
        <x:v>Churned</x:v>
      </x:c>
      <x:c r="L339" t="n">
        <x:v>69</x:v>
      </x:c>
      <x:c r="M339" t="str">
        <x:v>pricing</x:v>
      </x:c>
      <x:c r="N339" t="n">
        <x:v>1</x:v>
      </x:c>
      <x:c r="O339" t="n">
        <x:v>11</x:v>
      </x:c>
      <x:c r="P339" s="16" t="n">
        <x:v>70644</x:v>
      </x:c>
      <x:c r="Q339" t="n">
        <x:v>2</x:v>
      </x:c>
      <x:c r="R339" t="n">
        <x:v>1</x:v>
      </x:c>
      <x:c r="S339" t="n">
        <x:v>587</x:v>
      </x:c>
      <x:c r="T339" s="18" t="n">
        <x:v>46.87972222222222</x:v>
      </x:c>
      <x:c r="U339" t="n">
        <x:v>45</x:v>
      </x:c>
      <x:c r="V339" t="n">
        <x:v>35</x:v>
      </x:c>
      <x:c r="W339" t="n">
        <x:v>4</x:v>
      </x:c>
      <x:c r="X339" s="18" t="n">
        <x:v>18.75</x:v>
      </x:c>
      <x:c r="Y339" s="18" t="n">
        <x:v>97</x:v>
      </x:c>
      <x:c r="Z339" s="18" t="n">
        <x:v>4</x:v>
      </x:c>
      <x:c r="AA339" t="n">
        <x:v>1</x:v>
      </x:c>
    </x:row>
    <x:row r="340">
      <x:c r="A340" t="str">
        <x:v>A-b7b7b7</x:v>
      </x:c>
      <x:c r="B340" t="str">
        <x:v>Company_338</x:v>
      </x:c>
      <x:c r="C340" t="str">
        <x:v>FinTech</x:v>
      </x:c>
      <x:c r="D340" t="str">
        <x:v>US</x:v>
      </x:c>
      <x:c r="E340" s="14" t="n">
        <x:v>45473</x:v>
      </x:c>
      <x:c r="F340" t="str">
        <x:v>2024-06</x:v>
      </x:c>
      <x:c r="G340" t="str">
        <x:v>event</x:v>
      </x:c>
      <x:c r="H340" t="str">
        <x:v>Basic</x:v>
      </x:c>
      <x:c r="I340" t="n">
        <x:v>24</x:v>
      </x:c>
      <x:c r="J340" s="1" t="b">
        <x:v>0</x:v>
      </x:c>
      <x:c r="K340" t="str">
        <x:v>Churned</x:v>
      </x:c>
      <x:c r="L340" t="n">
        <x:v>184</x:v>
      </x:c>
      <x:c r="M340" t="str"/>
      <x:c r="N340" t="n">
        <x:v>0</x:v>
      </x:c>
      <x:c r="O340" t="n">
        <x:v>12</x:v>
      </x:c>
      <x:c r="P340" s="16" t="n">
        <x:v>28558</x:v>
      </x:c>
      <x:c r="Q340" t="n">
        <x:v>1</x:v>
      </x:c>
      <x:c r="R340" t="n">
        <x:v>0</x:v>
      </x:c>
      <x:c r="S340" t="n">
        <x:v>571</x:v>
      </x:c>
      <x:c r="T340" s="18" t="n">
        <x:v>46.21944444444444</x:v>
      </x:c>
      <x:c r="U340" t="n">
        <x:v>26</x:v>
      </x:c>
      <x:c r="V340" t="n">
        <x:v>31</x:v>
      </x:c>
      <x:c r="W340" t="n">
        <x:v>3</x:v>
      </x:c>
      <x:c r="X340" s="18" t="n">
        <x:v>17</x:v>
      </x:c>
      <x:c r="Y340" s="18" t="n">
        <x:v>99</x:v>
      </x:c>
      <x:c r="Z340" s="18" t="n">
        <x:v>5</x:v>
      </x:c>
      <x:c r="AA340" t="n">
        <x:v>0</x:v>
      </x:c>
    </x:row>
    <x:row r="341">
      <x:c r="A341" t="str">
        <x:v>A-ccc747</x:v>
      </x:c>
      <x:c r="B341" t="str">
        <x:v>Company_339</x:v>
      </x:c>
      <x:c r="C341" t="str">
        <x:v>HealthTech</x:v>
      </x:c>
      <x:c r="D341" t="str">
        <x:v>FR</x:v>
      </x:c>
      <x:c r="E341" s="14" t="n">
        <x:v>45303</x:v>
      </x:c>
      <x:c r="F341" t="str">
        <x:v>2024-01</x:v>
      </x:c>
      <x:c r="G341" t="str">
        <x:v>event</x:v>
      </x:c>
      <x:c r="H341" t="str">
        <x:v>Pro</x:v>
      </x:c>
      <x:c r="I341" t="n">
        <x:v>16</x:v>
      </x:c>
      <x:c r="J341" s="1" t="b">
        <x:v>0</x:v>
      </x:c>
      <x:c r="K341" t="str">
        <x:v>Churned</x:v>
      </x:c>
      <x:c r="L341" t="n">
        <x:v>234</x:v>
      </x:c>
      <x:c r="M341" t="str">
        <x:v>competitor</x:v>
      </x:c>
      <x:c r="N341" t="n">
        <x:v>3</x:v>
      </x:c>
      <x:c r="O341" t="n">
        <x:v>6</x:v>
      </x:c>
      <x:c r="P341" s="16" t="n">
        <x:v>3685</x:v>
      </x:c>
      <x:c r="Q341" t="n">
        <x:v>2</x:v>
      </x:c>
      <x:c r="R341" t="n">
        <x:v>0</x:v>
      </x:c>
      <x:c r="S341" t="n">
        <x:v>284</x:v>
      </x:c>
      <x:c r="T341" s="18" t="n">
        <x:v>24.88388888888889</x:v>
      </x:c>
      <x:c r="U341" t="n">
        <x:v>13</x:v>
      </x:c>
      <x:c r="V341" t="n">
        <x:v>23</x:v>
      </x:c>
      <x:c r="W341" t="n">
        <x:v>4</x:v>
      </x:c>
      <x:c r="X341" s="18" t="n">
        <x:v>32.25</x:v>
      </x:c>
      <x:c r="Y341" s="18" t="n">
        <x:v>83.25</x:v>
      </x:c>
      <x:c r="Z341" s="18" t="n">
        <x:v>5</x:v>
      </x:c>
      <x:c r="AA341" t="n">
        <x:v>1</x:v>
      </x:c>
    </x:row>
    <x:row r="342">
      <x:c r="A342" t="str">
        <x:v>A-bb3bd4</x:v>
      </x:c>
      <x:c r="B342" t="str">
        <x:v>Company_340</x:v>
      </x:c>
      <x:c r="C342" t="str">
        <x:v>HealthTech</x:v>
      </x:c>
      <x:c r="D342" t="str">
        <x:v>US</x:v>
      </x:c>
      <x:c r="E342" s="14" t="n">
        <x:v>45318</x:v>
      </x:c>
      <x:c r="F342" t="str">
        <x:v>2024-01</x:v>
      </x:c>
      <x:c r="G342" t="str">
        <x:v>ads</x:v>
      </x:c>
      <x:c r="H342" t="str">
        <x:v>Basic</x:v>
      </x:c>
      <x:c r="I342" t="n">
        <x:v>23</x:v>
      </x:c>
      <x:c r="J342" s="1" t="b">
        <x:v>0</x:v>
      </x:c>
      <x:c r="K342" t="str">
        <x:v>Active</x:v>
      </x:c>
      <x:c r="L342" t="n">
        <x:v>339</x:v>
      </x:c>
      <x:c r="M342" t="str"/>
      <x:c r="N342" t="n">
        <x:v>2</x:v>
      </x:c>
      <x:c r="O342" t="n">
        <x:v>7</x:v>
      </x:c>
      <x:c r="P342" s="16" t="n">
        <x:v>7452</x:v>
      </x:c>
      <x:c r="Q342" t="n">
        <x:v>2</x:v>
      </x:c>
      <x:c r="R342" t="n">
        <x:v>0</x:v>
      </x:c>
      <x:c r="S342" t="n">
        <x:v>315</x:v>
      </x:c>
      <x:c r="T342" s="18" t="n">
        <x:v>26.0025</x:v>
      </x:c>
      <x:c r="U342" t="n">
        <x:v>11</x:v>
      </x:c>
      <x:c r="V342" t="n">
        <x:v>18</x:v>
      </x:c>
      <x:c r="W342" t="n">
        <x:v>11</x:v>
      </x:c>
      <x:c r="X342" s="18" t="n">
        <x:v>32.72727272727273</x:v>
      </x:c>
      <x:c r="Y342" s="18" t="n">
        <x:v>106.36363636363636</x:v>
      </x:c>
      <x:c r="Z342" s="18" t="n">
        <x:v>4.142857142857143</x:v>
      </x:c>
      <x:c r="AA342" t="n">
        <x:v>0</x:v>
      </x:c>
    </x:row>
    <x:row r="343">
      <x:c r="A343" t="str">
        <x:v>A-09316c</x:v>
      </x:c>
      <x:c r="B343" t="str">
        <x:v>Company_341</x:v>
      </x:c>
      <x:c r="C343" t="str">
        <x:v>FinTech</x:v>
      </x:c>
      <x:c r="D343" t="str">
        <x:v>AU</x:v>
      </x:c>
      <x:c r="E343" s="14" t="n">
        <x:v>45546</x:v>
      </x:c>
      <x:c r="F343" t="str">
        <x:v>2024-09</x:v>
      </x:c>
      <x:c r="G343" t="str">
        <x:v>organic</x:v>
      </x:c>
      <x:c r="H343" t="str">
        <x:v>Enterprise</x:v>
      </x:c>
      <x:c r="I343" t="n">
        <x:v>70</x:v>
      </x:c>
      <x:c r="J343" s="1" t="b">
        <x:v>0</x:v>
      </x:c>
      <x:c r="K343" t="str">
        <x:v>Active</x:v>
      </x:c>
      <x:c r="L343" t="n">
        <x:v>111</x:v>
      </x:c>
      <x:c r="M343" t="str"/>
      <x:c r="N343" t="n">
        <x:v>1</x:v>
      </x:c>
      <x:c r="O343" t="n">
        <x:v>11</x:v>
      </x:c>
      <x:c r="P343" s="16" t="n">
        <x:v>70000</x:v>
      </x:c>
      <x:c r="Q343" t="n">
        <x:v>2</x:v>
      </x:c>
      <x:c r="R343" t="n">
        <x:v>0</x:v>
      </x:c>
      <x:c r="S343" t="n">
        <x:v>566</x:v>
      </x:c>
      <x:c r="T343" s="18" t="n">
        <x:v>41.51694444444445</x:v>
      </x:c>
      <x:c r="U343" t="n">
        <x:v>31</x:v>
      </x:c>
      <x:c r="V343" t="n">
        <x:v>28</x:v>
      </x:c>
      <x:c r="W343" t="n">
        <x:v>4</x:v>
      </x:c>
      <x:c r="X343" s="18" t="n">
        <x:v>54.75</x:v>
      </x:c>
      <x:c r="Y343" s="18" t="n">
        <x:v>106.25</x:v>
      </x:c>
      <x:c r="Z343" s="18" t="n">
        <x:v>3.75</x:v>
      </x:c>
      <x:c r="AA343" t="n">
        <x:v>1</x:v>
      </x:c>
    </x:row>
    <x:row r="344">
      <x:c r="A344" t="str">
        <x:v>A-96bbc6</x:v>
      </x:c>
      <x:c r="B344" t="str">
        <x:v>Company_342</x:v>
      </x:c>
      <x:c r="C344" t="str">
        <x:v>Cybersecurity</x:v>
      </x:c>
      <x:c r="D344" t="str">
        <x:v>US</x:v>
      </x:c>
      <x:c r="E344" s="14" t="n">
        <x:v>45419</x:v>
      </x:c>
      <x:c r="F344" t="str">
        <x:v>2024-05</x:v>
      </x:c>
      <x:c r="G344" t="str">
        <x:v>organic</x:v>
      </x:c>
      <x:c r="H344" t="str">
        <x:v>Enterprise</x:v>
      </x:c>
      <x:c r="I344" t="n">
        <x:v>39</x:v>
      </x:c>
      <x:c r="J344" s="1" t="b">
        <x:v>0</x:v>
      </x:c>
      <x:c r="K344" t="str">
        <x:v>Active</x:v>
      </x:c>
      <x:c r="L344" t="n">
        <x:v>238</x:v>
      </x:c>
      <x:c r="M344" t="str"/>
      <x:c r="N344" t="n">
        <x:v>3</x:v>
      </x:c>
      <x:c r="O344" t="n">
        <x:v>8</x:v>
      </x:c>
      <x:c r="P344" s="16" t="n">
        <x:v>30426</x:v>
      </x:c>
      <x:c r="Q344" t="n">
        <x:v>3</x:v>
      </x:c>
      <x:c r="R344" t="n">
        <x:v>1</x:v>
      </x:c>
      <x:c r="S344" t="n">
        <x:v>482</x:v>
      </x:c>
      <x:c r="T344" s="18" t="n">
        <x:v>42.44611111111111</x:v>
      </x:c>
      <x:c r="U344" t="n">
        <x:v>25</x:v>
      </x:c>
      <x:c r="V344" t="n">
        <x:v>30</x:v>
      </x:c>
      <x:c r="W344" t="n">
        <x:v>3</x:v>
      </x:c>
      <x:c r="X344" s="18" t="n">
        <x:v>51.333333333333336</x:v>
      </x:c>
      <x:c r="Y344" s="18" t="n">
        <x:v>67</x:v>
      </x:c>
      <x:c r="Z344" s="18" t="n">
        <x:v>3.3333333333333335</x:v>
      </x:c>
      <x:c r="AA344" t="n">
        <x:v>0</x:v>
      </x:c>
    </x:row>
    <x:row r="345">
      <x:c r="A345" t="str">
        <x:v>A-bc4d48</x:v>
      </x:c>
      <x:c r="B345" t="str">
        <x:v>Company_343</x:v>
      </x:c>
      <x:c r="C345" t="str">
        <x:v>EdTech</x:v>
      </x:c>
      <x:c r="D345" t="str">
        <x:v>US</x:v>
      </x:c>
      <x:c r="E345" s="14" t="n">
        <x:v>45455</x:v>
      </x:c>
      <x:c r="F345" t="str">
        <x:v>2024-06</x:v>
      </x:c>
      <x:c r="G345" t="str">
        <x:v>ads</x:v>
      </x:c>
      <x:c r="H345" t="str">
        <x:v>Pro</x:v>
      </x:c>
      <x:c r="I345" t="n">
        <x:v>35</x:v>
      </x:c>
      <x:c r="J345" s="1" t="b">
        <x:v>1</x:v>
      </x:c>
      <x:c r="K345" t="str">
        <x:v>Active</x:v>
      </x:c>
      <x:c r="L345" t="n">
        <x:v>202</x:v>
      </x:c>
      <x:c r="M345" t="str"/>
      <x:c r="N345" t="n">
        <x:v>0</x:v>
      </x:c>
      <x:c r="O345" t="n">
        <x:v>7</x:v>
      </x:c>
      <x:c r="P345" s="16" t="n">
        <x:v>12390</x:v>
      </x:c>
      <x:c r="Q345" t="n">
        <x:v>1</x:v>
      </x:c>
      <x:c r="R345" t="n">
        <x:v>0</x:v>
      </x:c>
      <x:c r="S345" t="n">
        <x:v>321</x:v>
      </x:c>
      <x:c r="T345" s="18" t="n">
        <x:v>24.830833333333334</x:v>
      </x:c>
      <x:c r="U345" t="n">
        <x:v>9</x:v>
      </x:c>
      <x:c r="V345" t="n">
        <x:v>24</x:v>
      </x:c>
      <x:c r="W345" t="n">
        <x:v>6</x:v>
      </x:c>
      <x:c r="X345" s="18" t="n">
        <x:v>41.166666666666664</x:v>
      </x:c>
      <x:c r="Y345" s="18" t="n">
        <x:v>65.83333333333333</x:v>
      </x:c>
      <x:c r="Z345" s="18" t="n">
        <x:v>4.2</x:v>
      </x:c>
      <x:c r="AA345" t="n">
        <x:v>1</x:v>
      </x:c>
    </x:row>
    <x:row r="346">
      <x:c r="A346" t="str">
        <x:v>A-b30291</x:v>
      </x:c>
      <x:c r="B346" t="str">
        <x:v>Company_344</x:v>
      </x:c>
      <x:c r="C346" t="str">
        <x:v>HealthTech</x:v>
      </x:c>
      <x:c r="D346" t="str">
        <x:v>US</x:v>
      </x:c>
      <x:c r="E346" s="14" t="n">
        <x:v>45387</x:v>
      </x:c>
      <x:c r="F346" t="str">
        <x:v>2024-04</x:v>
      </x:c>
      <x:c r="G346" t="str">
        <x:v>event</x:v>
      </x:c>
      <x:c r="H346" t="str">
        <x:v>Basic</x:v>
      </x:c>
      <x:c r="I346" t="n">
        <x:v>5</x:v>
      </x:c>
      <x:c r="J346" s="1" t="b">
        <x:v>1</x:v>
      </x:c>
      <x:c r="K346" t="str">
        <x:v>Churned</x:v>
      </x:c>
      <x:c r="L346" t="n">
        <x:v>151</x:v>
      </x:c>
      <x:c r="M346" t="str">
        <x:v>competitor</x:v>
      </x:c>
      <x:c r="N346" t="n">
        <x:v>1</x:v>
      </x:c>
      <x:c r="O346" t="n">
        <x:v>10</x:v>
      </x:c>
      <x:c r="P346" s="16" t="n">
        <x:v>5375</x:v>
      </x:c>
      <x:c r="Q346" t="n">
        <x:v>0</x:v>
      </x:c>
      <x:c r="R346" t="n">
        <x:v>0</x:v>
      </x:c>
      <x:c r="S346" t="n">
        <x:v>519</x:v>
      </x:c>
      <x:c r="T346" s="18" t="n">
        <x:v>44.74916666666667</x:v>
      </x:c>
      <x:c r="U346" t="n">
        <x:v>31</x:v>
      </x:c>
      <x:c r="V346" t="n">
        <x:v>26</x:v>
      </x:c>
      <x:c r="W346" t="n">
        <x:v>1</x:v>
      </x:c>
      <x:c r="X346" s="18" t="n">
        <x:v>16</x:v>
      </x:c>
      <x:c r="Y346" s="18" t="n">
        <x:v>1</x:v>
      </x:c>
      <x:c r="Z346" s="18"/>
      <x:c r="AA346" t="n">
        <x:v>0</x:v>
      </x:c>
    </x:row>
    <x:row r="347">
      <x:c r="A347" t="str">
        <x:v>A-cdf020</x:v>
      </x:c>
      <x:c r="B347" t="str">
        <x:v>Company_345</x:v>
      </x:c>
      <x:c r="C347" t="str">
        <x:v>DevTools</x:v>
      </x:c>
      <x:c r="D347" t="str">
        <x:v>AU</x:v>
      </x:c>
      <x:c r="E347" s="14" t="n">
        <x:v>45154</x:v>
      </x:c>
      <x:c r="F347" t="str">
        <x:v>2023-08</x:v>
      </x:c>
      <x:c r="G347" t="str">
        <x:v>organic</x:v>
      </x:c>
      <x:c r="H347" t="str">
        <x:v>Pro</x:v>
      </x:c>
      <x:c r="I347" t="n">
        <x:v>23</x:v>
      </x:c>
      <x:c r="J347" s="1" t="b">
        <x:v>0</x:v>
      </x:c>
      <x:c r="K347" t="str">
        <x:v>Active</x:v>
      </x:c>
      <x:c r="L347" t="n">
        <x:v>503</x:v>
      </x:c>
      <x:c r="M347" t="str"/>
      <x:c r="N347" t="n">
        <x:v>2</x:v>
      </x:c>
      <x:c r="O347" t="n">
        <x:v>8</x:v>
      </x:c>
      <x:c r="P347" s="16" t="n">
        <x:v>9771</x:v>
      </x:c>
      <x:c r="Q347" t="n">
        <x:v>2</x:v>
      </x:c>
      <x:c r="R347" t="n">
        <x:v>0</x:v>
      </x:c>
      <x:c r="S347" t="n">
        <x:v>379</x:v>
      </x:c>
      <x:c r="T347" s="18" t="n">
        <x:v>33.20055555555555</x:v>
      </x:c>
      <x:c r="U347" t="n">
        <x:v>18</x:v>
      </x:c>
      <x:c r="V347" t="n">
        <x:v>25</x:v>
      </x:c>
      <x:c r="W347" t="n">
        <x:v>4</x:v>
      </x:c>
      <x:c r="X347" s="18" t="n">
        <x:v>29.5</x:v>
      </x:c>
      <x:c r="Y347" s="18" t="n">
        <x:v>39.25</x:v>
      </x:c>
      <x:c r="Z347" s="18" t="n">
        <x:v>4</x:v>
      </x:c>
      <x:c r="AA347" t="n">
        <x:v>0</x:v>
      </x:c>
    </x:row>
    <x:row r="348">
      <x:c r="A348" t="str">
        <x:v>A-e6afc1</x:v>
      </x:c>
      <x:c r="B348" t="str">
        <x:v>Company_346</x:v>
      </x:c>
      <x:c r="C348" t="str">
        <x:v>DevTools</x:v>
      </x:c>
      <x:c r="D348" t="str">
        <x:v>US</x:v>
      </x:c>
      <x:c r="E348" s="14" t="n">
        <x:v>44981</x:v>
      </x:c>
      <x:c r="F348" t="str">
        <x:v>2023-02</x:v>
      </x:c>
      <x:c r="G348" t="str">
        <x:v>ads</x:v>
      </x:c>
      <x:c r="H348" t="str">
        <x:v>Pro</x:v>
      </x:c>
      <x:c r="I348" t="n">
        <x:v>1</x:v>
      </x:c>
      <x:c r="J348" s="1" t="b">
        <x:v>0</x:v>
      </x:c>
      <x:c r="K348" t="str">
        <x:v>Active</x:v>
      </x:c>
      <x:c r="L348" t="n">
        <x:v>676</x:v>
      </x:c>
      <x:c r="M348" t="str"/>
      <x:c r="N348" t="n">
        <x:v>0</x:v>
      </x:c>
      <x:c r="O348" t="n">
        <x:v>11</x:v>
      </x:c>
      <x:c r="P348" s="16" t="n">
        <x:v>22582</x:v>
      </x:c>
      <x:c r="Q348" t="n">
        <x:v>0</x:v>
      </x:c>
      <x:c r="R348" t="n">
        <x:v>0</x:v>
      </x:c>
      <x:c r="S348" t="n">
        <x:v>679</x:v>
      </x:c>
      <x:c r="T348" s="18" t="n">
        <x:v>54.524166666666666</x:v>
      </x:c>
      <x:c r="U348" t="n">
        <x:v>30</x:v>
      </x:c>
      <x:c r="V348" t="n">
        <x:v>32</x:v>
      </x:c>
      <x:c r="W348" t="n">
        <x:v>0</x:v>
      </x:c>
      <x:c r="X348" s="18"/>
      <x:c r="Y348" s="18"/>
      <x:c r="Z348" s="18"/>
      <x:c r="AA348" t="n">
        <x:v>0</x:v>
      </x:c>
    </x:row>
    <x:row r="349">
      <x:c r="A349" t="str">
        <x:v>A-e3bd71</x:v>
      </x:c>
      <x:c r="B349" t="str">
        <x:v>Company_347</x:v>
      </x:c>
      <x:c r="C349" t="str">
        <x:v>Cybersecurity</x:v>
      </x:c>
      <x:c r="D349" t="str">
        <x:v>US</x:v>
      </x:c>
      <x:c r="E349" s="14" t="n">
        <x:v>45010</x:v>
      </x:c>
      <x:c r="F349" t="str">
        <x:v>2023-03</x:v>
      </x:c>
      <x:c r="G349" t="str">
        <x:v>partner</x:v>
      </x:c>
      <x:c r="H349" t="str">
        <x:v>Basic</x:v>
      </x:c>
      <x:c r="I349" t="n">
        <x:v>31</x:v>
      </x:c>
      <x:c r="J349" s="1" t="b">
        <x:v>0</x:v>
      </x:c>
      <x:c r="K349" t="str">
        <x:v>Active</x:v>
      </x:c>
      <x:c r="L349" t="n">
        <x:v>647</x:v>
      </x:c>
      <x:c r="M349" t="str"/>
      <x:c r="N349" t="n">
        <x:v>1</x:v>
      </x:c>
      <x:c r="O349" t="n">
        <x:v>11</x:v>
      </x:c>
      <x:c r="P349" s="16" t="n">
        <x:v>35461</x:v>
      </x:c>
      <x:c r="Q349" t="n">
        <x:v>1</x:v>
      </x:c>
      <x:c r="R349" t="n">
        <x:v>1</x:v>
      </x:c>
      <x:c r="S349" t="n">
        <x:v>638</x:v>
      </x:c>
      <x:c r="T349" s="18" t="n">
        <x:v>51.95111111111111</x:v>
      </x:c>
      <x:c r="U349" t="n">
        <x:v>27</x:v>
      </x:c>
      <x:c r="V349" t="n">
        <x:v>32</x:v>
      </x:c>
      <x:c r="W349" t="n">
        <x:v>4</x:v>
      </x:c>
      <x:c r="X349" s="18" t="n">
        <x:v>30.25</x:v>
      </x:c>
      <x:c r="Y349" s="18" t="n">
        <x:v>119</x:v>
      </x:c>
      <x:c r="Z349" s="18" t="n">
        <x:v>4</x:v>
      </x:c>
      <x:c r="AA349" t="n">
        <x:v>0</x:v>
      </x:c>
    </x:row>
    <x:row r="350">
      <x:c r="A350" t="str">
        <x:v>A-b179bf</x:v>
      </x:c>
      <x:c r="B350" t="str">
        <x:v>Company_348</x:v>
      </x:c>
      <x:c r="C350" t="str">
        <x:v>Cybersecurity</x:v>
      </x:c>
      <x:c r="D350" t="str">
        <x:v>IN</x:v>
      </x:c>
      <x:c r="E350" s="14" t="n">
        <x:v>45592</x:v>
      </x:c>
      <x:c r="F350" t="str">
        <x:v>2024-10</x:v>
      </x:c>
      <x:c r="G350" t="str">
        <x:v>ads</x:v>
      </x:c>
      <x:c r="H350" t="str">
        <x:v>Basic</x:v>
      </x:c>
      <x:c r="I350" t="n">
        <x:v>43</x:v>
      </x:c>
      <x:c r="J350" s="1" t="b">
        <x:v>0</x:v>
      </x:c>
      <x:c r="K350" t="str">
        <x:v>Active</x:v>
      </x:c>
      <x:c r="L350" t="n">
        <x:v>65</x:v>
      </x:c>
      <x:c r="M350" t="str"/>
      <x:c r="N350" t="n">
        <x:v>3</x:v>
      </x:c>
      <x:c r="O350" t="n">
        <x:v>5</x:v>
      </x:c>
      <x:c r="P350" s="16" t="n">
        <x:v>17931</x:v>
      </x:c>
      <x:c r="Q350" t="n">
        <x:v>0</x:v>
      </x:c>
      <x:c r="R350" t="n">
        <x:v>0</x:v>
      </x:c>
      <x:c r="S350" t="n">
        <x:v>398</x:v>
      </x:c>
      <x:c r="T350" s="18" t="n">
        <x:v>30.793055555555554</x:v>
      </x:c>
      <x:c r="U350" t="n">
        <x:v>18</x:v>
      </x:c>
      <x:c r="V350" t="n">
        <x:v>23</x:v>
      </x:c>
      <x:c r="W350" t="n">
        <x:v>6</x:v>
      </x:c>
      <x:c r="X350" s="18" t="n">
        <x:v>24.666666666666668</x:v>
      </x:c>
      <x:c r="Y350" s="18" t="n">
        <x:v>94.33333333333333</x:v>
      </x:c>
      <x:c r="Z350" s="18" t="n">
        <x:v>4</x:v>
      </x:c>
      <x:c r="AA350" t="n">
        <x:v>0</x:v>
      </x:c>
    </x:row>
    <x:row r="351">
      <x:c r="A351" t="str">
        <x:v>A-098560</x:v>
      </x:c>
      <x:c r="B351" t="str">
        <x:v>Company_349</x:v>
      </x:c>
      <x:c r="C351" t="str">
        <x:v>DevTools</x:v>
      </x:c>
      <x:c r="D351" t="str">
        <x:v>UK</x:v>
      </x:c>
      <x:c r="E351" s="14" t="n">
        <x:v>45220</x:v>
      </x:c>
      <x:c r="F351" t="str">
        <x:v>2023-10</x:v>
      </x:c>
      <x:c r="G351" t="str">
        <x:v>ads</x:v>
      </x:c>
      <x:c r="H351" t="str">
        <x:v>Enterprise</x:v>
      </x:c>
      <x:c r="I351" t="n">
        <x:v>1</x:v>
      </x:c>
      <x:c r="J351" s="1" t="b">
        <x:v>0</x:v>
      </x:c>
      <x:c r="K351" t="str">
        <x:v>Churned</x:v>
      </x:c>
      <x:c r="L351" t="n">
        <x:v>319</x:v>
      </x:c>
      <x:c r="M351" t="str">
        <x:v>pricing</x:v>
      </x:c>
      <x:c r="N351" t="n">
        <x:v>2</x:v>
      </x:c>
      <x:c r="O351" t="n">
        <x:v>11</x:v>
      </x:c>
      <x:c r="P351" s="16" t="n">
        <x:v>11775</x:v>
      </x:c>
      <x:c r="Q351" t="n">
        <x:v>1</x:v>
      </x:c>
      <x:c r="R351" t="n">
        <x:v>0</x:v>
      </x:c>
      <x:c r="S351" t="n">
        <x:v>567</x:v>
      </x:c>
      <x:c r="T351" s="18" t="n">
        <x:v>48.41722222222222</x:v>
      </x:c>
      <x:c r="U351" t="n">
        <x:v>32</x:v>
      </x:c>
      <x:c r="V351" t="n">
        <x:v>32</x:v>
      </x:c>
      <x:c r="W351" t="n">
        <x:v>2</x:v>
      </x:c>
      <x:c r="X351" s="18" t="n">
        <x:v>28</x:v>
      </x:c>
      <x:c r="Y351" s="18" t="n">
        <x:v>100</x:v>
      </x:c>
      <x:c r="Z351" s="18" t="n">
        <x:v>3</x:v>
      </x:c>
      <x:c r="AA351" t="n">
        <x:v>1</x:v>
      </x:c>
    </x:row>
    <x:row r="352">
      <x:c r="A352" t="str">
        <x:v>A-82861f</x:v>
      </x:c>
      <x:c r="B352" t="str">
        <x:v>Company_350</x:v>
      </x:c>
      <x:c r="C352" t="str">
        <x:v>DevTools</x:v>
      </x:c>
      <x:c r="D352" t="str">
        <x:v>UK</x:v>
      </x:c>
      <x:c r="E352" s="14" t="n">
        <x:v>45407</x:v>
      </x:c>
      <x:c r="F352" t="str">
        <x:v>2024-04</x:v>
      </x:c>
      <x:c r="G352" t="str">
        <x:v>organic</x:v>
      </x:c>
      <x:c r="H352" t="str">
        <x:v>Basic</x:v>
      </x:c>
      <x:c r="I352" t="n">
        <x:v>41</x:v>
      </x:c>
      <x:c r="J352" s="1" t="b">
        <x:v>0</x:v>
      </x:c>
      <x:c r="K352" t="str">
        <x:v>Active</x:v>
      </x:c>
      <x:c r="L352" t="n">
        <x:v>250</x:v>
      </x:c>
      <x:c r="M352" t="str"/>
      <x:c r="N352" t="n">
        <x:v>1</x:v>
      </x:c>
      <x:c r="O352" t="n">
        <x:v>10</x:v>
      </x:c>
      <x:c r="P352" s="16" t="n">
        <x:v>32686</x:v>
      </x:c>
      <x:c r="Q352" t="n">
        <x:v>0</x:v>
      </x:c>
      <x:c r="R352" t="n">
        <x:v>0</x:v>
      </x:c>
      <x:c r="S352" t="n">
        <x:v>462</x:v>
      </x:c>
      <x:c r="T352" s="18" t="n">
        <x:v>36.353611111111114</x:v>
      </x:c>
      <x:c r="U352" t="n">
        <x:v>43</x:v>
      </x:c>
      <x:c r="V352" t="n">
        <x:v>28</x:v>
      </x:c>
      <x:c r="W352" t="n">
        <x:v>5</x:v>
      </x:c>
      <x:c r="X352" s="18" t="n">
        <x:v>24.4</x:v>
      </x:c>
      <x:c r="Y352" s="18" t="n">
        <x:v>55</x:v>
      </x:c>
      <x:c r="Z352" s="18" t="n">
        <x:v>3.2</x:v>
      </x:c>
      <x:c r="AA352" t="n">
        <x:v>0</x:v>
      </x:c>
    </x:row>
    <x:row r="353">
      <x:c r="A353" t="str">
        <x:v>A-94c3cd</x:v>
      </x:c>
      <x:c r="B353" t="str">
        <x:v>Company_351</x:v>
      </x:c>
      <x:c r="C353" t="str">
        <x:v>FinTech</x:v>
      </x:c>
      <x:c r="D353" t="str">
        <x:v>CA</x:v>
      </x:c>
      <x:c r="E353" s="14" t="n">
        <x:v>45189</x:v>
      </x:c>
      <x:c r="F353" t="str">
        <x:v>2023-09</x:v>
      </x:c>
      <x:c r="G353" t="str">
        <x:v>other</x:v>
      </x:c>
      <x:c r="H353" t="str">
        <x:v>Enterprise</x:v>
      </x:c>
      <x:c r="I353" t="n">
        <x:v>32</x:v>
      </x:c>
      <x:c r="J353" s="1" t="b">
        <x:v>0</x:v>
      </x:c>
      <x:c r="K353" t="str">
        <x:v>Active</x:v>
      </x:c>
      <x:c r="L353" t="n">
        <x:v>468</x:v>
      </x:c>
      <x:c r="M353" t="str"/>
      <x:c r="N353" t="n">
        <x:v>0</x:v>
      </x:c>
      <x:c r="O353" t="n">
        <x:v>6</x:v>
      </x:c>
      <x:c r="P353" s="16" t="n">
        <x:v>9036</x:v>
      </x:c>
      <x:c r="Q353" t="n">
        <x:v>0</x:v>
      </x:c>
      <x:c r="R353" t="n">
        <x:v>0</x:v>
      </x:c>
      <x:c r="S353" t="n">
        <x:v>306</x:v>
      </x:c>
      <x:c r="T353" s="18" t="n">
        <x:v>28.94361111111111</x:v>
      </x:c>
      <x:c r="U353" t="n">
        <x:v>18</x:v>
      </x:c>
      <x:c r="V353" t="n">
        <x:v>18</x:v>
      </x:c>
      <x:c r="W353" t="n">
        <x:v>4</x:v>
      </x:c>
      <x:c r="X353" s="18" t="n">
        <x:v>44.75</x:v>
      </x:c>
      <x:c r="Y353" s="18" t="n">
        <x:v>116.5</x:v>
      </x:c>
      <x:c r="Z353" s="18" t="n">
        <x:v>3.5</x:v>
      </x:c>
      <x:c r="AA353" t="n">
        <x:v>1</x:v>
      </x:c>
    </x:row>
    <x:row r="354">
      <x:c r="A354" t="str">
        <x:v>A-a33200</x:v>
      </x:c>
      <x:c r="B354" t="str">
        <x:v>Company_352</x:v>
      </x:c>
      <x:c r="C354" t="str">
        <x:v>HealthTech</x:v>
      </x:c>
      <x:c r="D354" t="str">
        <x:v>US</x:v>
      </x:c>
      <x:c r="E354" s="14" t="n">
        <x:v>45550</x:v>
      </x:c>
      <x:c r="F354" t="str">
        <x:v>2024-09</x:v>
      </x:c>
      <x:c r="G354" t="str">
        <x:v>partner</x:v>
      </x:c>
      <x:c r="H354" t="str">
        <x:v>Basic</x:v>
      </x:c>
      <x:c r="I354" t="n">
        <x:v>29</x:v>
      </x:c>
      <x:c r="J354" s="1" t="b">
        <x:v>0</x:v>
      </x:c>
      <x:c r="K354" t="str">
        <x:v>Active</x:v>
      </x:c>
      <x:c r="L354" t="n">
        <x:v>107</x:v>
      </x:c>
      <x:c r="M354" t="str"/>
      <x:c r="N354" t="n">
        <x:v>1</x:v>
      </x:c>
      <x:c r="O354" t="n">
        <x:v>12</x:v>
      </x:c>
      <x:c r="P354" s="16" t="n">
        <x:v>23142</x:v>
      </x:c>
      <x:c r="Q354" t="n">
        <x:v>1</x:v>
      </x:c>
      <x:c r="R354" t="n">
        <x:v>0</x:v>
      </x:c>
      <x:c r="S354" t="n">
        <x:v>517</x:v>
      </x:c>
      <x:c r="T354" s="18" t="n">
        <x:v>41.94361111111111</x:v>
      </x:c>
      <x:c r="U354" t="n">
        <x:v>26</x:v>
      </x:c>
      <x:c r="V354" t="n">
        <x:v>33</x:v>
      </x:c>
      <x:c r="W354" t="n">
        <x:v>3</x:v>
      </x:c>
      <x:c r="X354" s="18" t="n">
        <x:v>36.333333333333336</x:v>
      </x:c>
      <x:c r="Y354" s="18" t="n">
        <x:v>88.33333333333333</x:v>
      </x:c>
      <x:c r="Z354" s="18" t="n">
        <x:v>4.5</x:v>
      </x:c>
      <x:c r="AA354" t="n">
        <x:v>0</x:v>
      </x:c>
    </x:row>
    <x:row r="355">
      <x:c r="A355" t="str">
        <x:v>A-034368</x:v>
      </x:c>
      <x:c r="B355" t="str">
        <x:v>Company_353</x:v>
      </x:c>
      <x:c r="C355" t="str">
        <x:v>EdTech</x:v>
      </x:c>
      <x:c r="D355" t="str">
        <x:v>US</x:v>
      </x:c>
      <x:c r="E355" s="14" t="n">
        <x:v>45235</x:v>
      </x:c>
      <x:c r="F355" t="str">
        <x:v>2023-11</x:v>
      </x:c>
      <x:c r="G355" t="str">
        <x:v>event</x:v>
      </x:c>
      <x:c r="H355" t="str">
        <x:v>Enterprise</x:v>
      </x:c>
      <x:c r="I355" t="n">
        <x:v>19</x:v>
      </x:c>
      <x:c r="J355" s="1" t="b">
        <x:v>0</x:v>
      </x:c>
      <x:c r="K355" t="str">
        <x:v>Active</x:v>
      </x:c>
      <x:c r="L355" t="n">
        <x:v>422</x:v>
      </x:c>
      <x:c r="M355" t="str"/>
      <x:c r="N355" t="n">
        <x:v>1</x:v>
      </x:c>
      <x:c r="O355" t="n">
        <x:v>5</x:v>
      </x:c>
      <x:c r="P355" s="16" t="n">
        <x:v>11194</x:v>
      </x:c>
      <x:c r="Q355" t="n">
        <x:v>0</x:v>
      </x:c>
      <x:c r="R355" t="n">
        <x:v>0</x:v>
      </x:c>
      <x:c r="S355" t="n">
        <x:v>265</x:v>
      </x:c>
      <x:c r="T355" s="18" t="n">
        <x:v>22.33972222222222</x:v>
      </x:c>
      <x:c r="U355" t="n">
        <x:v>25</x:v>
      </x:c>
      <x:c r="V355" t="n">
        <x:v>20</x:v>
      </x:c>
      <x:c r="W355" t="n">
        <x:v>5</x:v>
      </x:c>
      <x:c r="X355" s="18" t="n">
        <x:v>41.2</x:v>
      </x:c>
      <x:c r="Y355" s="18" t="n">
        <x:v>91.8</x:v>
      </x:c>
      <x:c r="Z355" s="18" t="n">
        <x:v>4</x:v>
      </x:c>
      <x:c r="AA355" t="n">
        <x:v>0</x:v>
      </x:c>
    </x:row>
    <x:row r="356">
      <x:c r="A356" t="str">
        <x:v>A-b54c01</x:v>
      </x:c>
      <x:c r="B356" t="str">
        <x:v>Company_354</x:v>
      </x:c>
      <x:c r="C356" t="str">
        <x:v>DevTools</x:v>
      </x:c>
      <x:c r="D356" t="str">
        <x:v>US</x:v>
      </x:c>
      <x:c r="E356" s="14" t="n">
        <x:v>45564</x:v>
      </x:c>
      <x:c r="F356" t="str">
        <x:v>2024-09</x:v>
      </x:c>
      <x:c r="G356" t="str">
        <x:v>event</x:v>
      </x:c>
      <x:c r="H356" t="str">
        <x:v>Enterprise</x:v>
      </x:c>
      <x:c r="I356" t="n">
        <x:v>29</x:v>
      </x:c>
      <x:c r="J356" s="1" t="b">
        <x:v>0</x:v>
      </x:c>
      <x:c r="K356" t="str">
        <x:v>Active</x:v>
      </x:c>
      <x:c r="L356" t="n">
        <x:v>93</x:v>
      </x:c>
      <x:c r="M356" t="str"/>
      <x:c r="N356" t="n">
        <x:v>1</x:v>
      </x:c>
      <x:c r="O356" t="n">
        <x:v>4</x:v>
      </x:c>
      <x:c r="P356" s="16" t="n">
        <x:v>3393</x:v>
      </x:c>
      <x:c r="Q356" t="n">
        <x:v>0</x:v>
      </x:c>
      <x:c r="R356" t="n">
        <x:v>0</x:v>
      </x:c>
      <x:c r="S356" t="n">
        <x:v>226</x:v>
      </x:c>
      <x:c r="T356" s="18" t="n">
        <x:v>18.048055555555557</x:v>
      </x:c>
      <x:c r="U356" t="n">
        <x:v>17</x:v>
      </x:c>
      <x:c r="V356" t="n">
        <x:v>15</x:v>
      </x:c>
      <x:c r="W356" t="n">
        <x:v>5</x:v>
      </x:c>
      <x:c r="X356" s="18" t="n">
        <x:v>42.6</x:v>
      </x:c>
      <x:c r="Y356" s="18" t="n">
        <x:v>77.2</x:v>
      </x:c>
      <x:c r="Z356" s="18" t="n">
        <x:v>3</x:v>
      </x:c>
      <x:c r="AA356" t="n">
        <x:v>0</x:v>
      </x:c>
    </x:row>
    <x:row r="357">
      <x:c r="A357" t="str">
        <x:v>A-d82ef9</x:v>
      </x:c>
      <x:c r="B357" t="str">
        <x:v>Company_355</x:v>
      </x:c>
      <x:c r="C357" t="str">
        <x:v>EdTech</x:v>
      </x:c>
      <x:c r="D357" t="str">
        <x:v>UK</x:v>
      </x:c>
      <x:c r="E357" s="14" t="n">
        <x:v>45475</x:v>
      </x:c>
      <x:c r="F357" t="str">
        <x:v>2024-07</x:v>
      </x:c>
      <x:c r="G357" t="str">
        <x:v>other</x:v>
      </x:c>
      <x:c r="H357" t="str">
        <x:v>Basic</x:v>
      </x:c>
      <x:c r="I357" t="n">
        <x:v>26</x:v>
      </x:c>
      <x:c r="J357" s="1" t="b">
        <x:v>0</x:v>
      </x:c>
      <x:c r="K357" t="str">
        <x:v>Churned</x:v>
      </x:c>
      <x:c r="L357" t="n">
        <x:v>35</x:v>
      </x:c>
      <x:c r="M357" t="str">
        <x:v>budget</x:v>
      </x:c>
      <x:c r="N357" t="n">
        <x:v>1</x:v>
      </x:c>
      <x:c r="O357" t="n">
        <x:v>14</x:v>
      </x:c>
      <x:c r="P357" s="16" t="n">
        <x:v>13320</x:v>
      </x:c>
      <x:c r="Q357" t="n">
        <x:v>1</x:v>
      </x:c>
      <x:c r="R357" t="n">
        <x:v>2</x:v>
      </x:c>
      <x:c r="S357" t="n">
        <x:v>679</x:v>
      </x:c>
      <x:c r="T357" s="18" t="n">
        <x:v>53.895</x:v>
      </x:c>
      <x:c r="U357" t="n">
        <x:v>46</x:v>
      </x:c>
      <x:c r="V357" t="n">
        <x:v>32</x:v>
      </x:c>
      <x:c r="W357" t="n">
        <x:v>5</x:v>
      </x:c>
      <x:c r="X357" s="18" t="n">
        <x:v>39.8</x:v>
      </x:c>
      <x:c r="Y357" s="18" t="n">
        <x:v>91.6</x:v>
      </x:c>
      <x:c r="Z357" s="18" t="n">
        <x:v>4.25</x:v>
      </x:c>
      <x:c r="AA357" t="n">
        <x:v>1</x:v>
      </x:c>
    </x:row>
    <x:row r="358">
      <x:c r="A358" t="str">
        <x:v>A-bb2f49</x:v>
      </x:c>
      <x:c r="B358" t="str">
        <x:v>Company_356</x:v>
      </x:c>
      <x:c r="C358" t="str">
        <x:v>Cybersecurity</x:v>
      </x:c>
      <x:c r="D358" t="str">
        <x:v>US</x:v>
      </x:c>
      <x:c r="E358" s="14" t="n">
        <x:v>45074</x:v>
      </x:c>
      <x:c r="F358" t="str">
        <x:v>2023-05</x:v>
      </x:c>
      <x:c r="G358" t="str">
        <x:v>other</x:v>
      </x:c>
      <x:c r="H358" t="str">
        <x:v>Pro</x:v>
      </x:c>
      <x:c r="I358" t="n">
        <x:v>8</x:v>
      </x:c>
      <x:c r="J358" s="1" t="b">
        <x:v>0</x:v>
      </x:c>
      <x:c r="K358" t="str">
        <x:v>Active</x:v>
      </x:c>
      <x:c r="L358" t="n">
        <x:v>583</x:v>
      </x:c>
      <x:c r="M358" t="str"/>
      <x:c r="N358" t="n">
        <x:v>0</x:v>
      </x:c>
      <x:c r="O358" t="n">
        <x:v>11</x:v>
      </x:c>
      <x:c r="P358" s="16" t="n">
        <x:v>23990</x:v>
      </x:c>
      <x:c r="Q358" t="n">
        <x:v>2</x:v>
      </x:c>
      <x:c r="R358" t="n">
        <x:v>1</x:v>
      </x:c>
      <x:c r="S358" t="n">
        <x:v>618</x:v>
      </x:c>
      <x:c r="T358" s="18" t="n">
        <x:v>52.797222222222224</x:v>
      </x:c>
      <x:c r="U358" t="n">
        <x:v>42</x:v>
      </x:c>
      <x:c r="V358" t="n">
        <x:v>31</x:v>
      </x:c>
      <x:c r="W358" t="n">
        <x:v>3</x:v>
      </x:c>
      <x:c r="X358" s="18" t="n">
        <x:v>22.333333333333332</x:v>
      </x:c>
      <x:c r="Y358" s="18" t="n">
        <x:v>102.33333333333333</x:v>
      </x:c>
      <x:c r="Z358" s="18" t="n">
        <x:v>4</x:v>
      </x:c>
      <x:c r="AA358" t="n">
        <x:v>0</x:v>
      </x:c>
    </x:row>
    <x:row r="359">
      <x:c r="A359" t="str">
        <x:v>A-1f559b</x:v>
      </x:c>
      <x:c r="B359" t="str">
        <x:v>Company_357</x:v>
      </x:c>
      <x:c r="C359" t="str">
        <x:v>HealthTech</x:v>
      </x:c>
      <x:c r="D359" t="str">
        <x:v>US</x:v>
      </x:c>
      <x:c r="E359" s="14" t="n">
        <x:v>45173</x:v>
      </x:c>
      <x:c r="F359" t="str">
        <x:v>2023-09</x:v>
      </x:c>
      <x:c r="G359" t="str">
        <x:v>organic</x:v>
      </x:c>
      <x:c r="H359" t="str">
        <x:v>Enterprise</x:v>
      </x:c>
      <x:c r="I359" t="n">
        <x:v>5</x:v>
      </x:c>
      <x:c r="J359" s="1" t="b">
        <x:v>1</x:v>
      </x:c>
      <x:c r="K359" t="str">
        <x:v>Churned</x:v>
      </x:c>
      <x:c r="L359" t="n">
        <x:v>390</x:v>
      </x:c>
      <x:c r="M359" t="str">
        <x:v>features</x:v>
      </x:c>
      <x:c r="N359" t="n">
        <x:v>1</x:v>
      </x:c>
      <x:c r="O359" t="n">
        <x:v>10</x:v>
      </x:c>
      <x:c r="P359" s="16" t="n">
        <x:v>10350</x:v>
      </x:c>
      <x:c r="Q359" t="n">
        <x:v>0</x:v>
      </x:c>
      <x:c r="R359" t="n">
        <x:v>1</x:v>
      </x:c>
      <x:c r="S359" t="n">
        <x:v>400</x:v>
      </x:c>
      <x:c r="T359" s="18" t="n">
        <x:v>32.57416666666666</x:v>
      </x:c>
      <x:c r="U359" t="n">
        <x:v>27</x:v>
      </x:c>
      <x:c r="V359" t="n">
        <x:v>29</x:v>
      </x:c>
      <x:c r="W359" t="n">
        <x:v>5</x:v>
      </x:c>
      <x:c r="X359" s="18" t="n">
        <x:v>50.4</x:v>
      </x:c>
      <x:c r="Y359" s="18" t="n">
        <x:v>116.2</x:v>
      </x:c>
      <x:c r="Z359" s="18" t="n">
        <x:v>4.2</x:v>
      </x:c>
      <x:c r="AA359" t="n">
        <x:v>0</x:v>
      </x:c>
    </x:row>
    <x:row r="360">
      <x:c r="A360" t="str">
        <x:v>A-5a215a</x:v>
      </x:c>
      <x:c r="B360" t="str">
        <x:v>Company_358</x:v>
      </x:c>
      <x:c r="C360" t="str">
        <x:v>EdTech</x:v>
      </x:c>
      <x:c r="D360" t="str">
        <x:v>FR</x:v>
      </x:c>
      <x:c r="E360" s="14" t="n">
        <x:v>45296</x:v>
      </x:c>
      <x:c r="F360" t="str">
        <x:v>2024-01</x:v>
      </x:c>
      <x:c r="G360" t="str">
        <x:v>other</x:v>
      </x:c>
      <x:c r="H360" t="str">
        <x:v>Enterprise</x:v>
      </x:c>
      <x:c r="I360" t="n">
        <x:v>87</x:v>
      </x:c>
      <x:c r="J360" s="1" t="b">
        <x:v>0</x:v>
      </x:c>
      <x:c r="K360" t="str">
        <x:v>Active</x:v>
      </x:c>
      <x:c r="L360" t="n">
        <x:v>361</x:v>
      </x:c>
      <x:c r="M360" t="str"/>
      <x:c r="N360" t="n">
        <x:v>0</x:v>
      </x:c>
      <x:c r="O360" t="n">
        <x:v>18</x:v>
      </x:c>
      <x:c r="P360" s="16" t="n">
        <x:v>69687</x:v>
      </x:c>
      <x:c r="Q360" t="n">
        <x:v>2</x:v>
      </x:c>
      <x:c r="R360" t="n">
        <x:v>0</x:v>
      </x:c>
      <x:c r="S360" t="n">
        <x:v>807</x:v>
      </x:c>
      <x:c r="T360" s="18" t="n">
        <x:v>75.4588888888889</x:v>
      </x:c>
      <x:c r="U360" t="n">
        <x:v>71</x:v>
      </x:c>
      <x:c r="V360" t="n">
        <x:v>32</x:v>
      </x:c>
      <x:c r="W360" t="n">
        <x:v>4</x:v>
      </x:c>
      <x:c r="X360" s="18" t="n">
        <x:v>29.5</x:v>
      </x:c>
      <x:c r="Y360" s="18" t="n">
        <x:v>38</x:v>
      </x:c>
      <x:c r="Z360" s="18" t="n">
        <x:v>4</x:v>
      </x:c>
      <x:c r="AA360" t="n">
        <x:v>0</x:v>
      </x:c>
    </x:row>
    <x:row r="361">
      <x:c r="A361" t="str">
        <x:v>A-3f9cc0</x:v>
      </x:c>
      <x:c r="B361" t="str">
        <x:v>Company_359</x:v>
      </x:c>
      <x:c r="C361" t="str">
        <x:v>HealthTech</x:v>
      </x:c>
      <x:c r="D361" t="str">
        <x:v>US</x:v>
      </x:c>
      <x:c r="E361" s="14" t="n">
        <x:v>45446</x:v>
      </x:c>
      <x:c r="F361" t="str">
        <x:v>2024-06</x:v>
      </x:c>
      <x:c r="G361" t="str">
        <x:v>event</x:v>
      </x:c>
      <x:c r="H361" t="str">
        <x:v>Basic</x:v>
      </x:c>
      <x:c r="I361" t="n">
        <x:v>22</x:v>
      </x:c>
      <x:c r="J361" s="1" t="b">
        <x:v>0</x:v>
      </x:c>
      <x:c r="K361" t="str">
        <x:v>Active</x:v>
      </x:c>
      <x:c r="L361" t="n">
        <x:v>211</x:v>
      </x:c>
      <x:c r="M361" t="str"/>
      <x:c r="N361" t="n">
        <x:v>3</x:v>
      </x:c>
      <x:c r="O361" t="n">
        <x:v>7</x:v>
      </x:c>
      <x:c r="P361" s="16" t="n">
        <x:v>19940</x:v>
      </x:c>
      <x:c r="Q361" t="n">
        <x:v>1</x:v>
      </x:c>
      <x:c r="R361" t="n">
        <x:v>2</x:v>
      </x:c>
      <x:c r="S361" t="n">
        <x:v>407</x:v>
      </x:c>
      <x:c r="T361" s="18" t="n">
        <x:v>34.533611111111114</x:v>
      </x:c>
      <x:c r="U361" t="n">
        <x:v>24</x:v>
      </x:c>
      <x:c r="V361" t="n">
        <x:v>25</x:v>
      </x:c>
      <x:c r="W361" t="n">
        <x:v>5</x:v>
      </x:c>
      <x:c r="X361" s="18" t="n">
        <x:v>34.8</x:v>
      </x:c>
      <x:c r="Y361" s="18" t="n">
        <x:v>112.6</x:v>
      </x:c>
      <x:c r="Z361" s="18" t="n">
        <x:v>4.5</x:v>
      </x:c>
      <x:c r="AA361" t="n">
        <x:v>1</x:v>
      </x:c>
    </x:row>
    <x:row r="362">
      <x:c r="A362" t="str">
        <x:v>A-f9cc74</x:v>
      </x:c>
      <x:c r="B362" t="str">
        <x:v>Company_360</x:v>
      </x:c>
      <x:c r="C362" t="str">
        <x:v>DevTools</x:v>
      </x:c>
      <x:c r="D362" t="str">
        <x:v>FR</x:v>
      </x:c>
      <x:c r="E362" s="14" t="n">
        <x:v>45577</x:v>
      </x:c>
      <x:c r="F362" t="str">
        <x:v>2024-10</x:v>
      </x:c>
      <x:c r="G362" t="str">
        <x:v>partner</x:v>
      </x:c>
      <x:c r="H362" t="str">
        <x:v>Enterprise</x:v>
      </x:c>
      <x:c r="I362" t="n">
        <x:v>30</x:v>
      </x:c>
      <x:c r="J362" s="1" t="b">
        <x:v>1</x:v>
      </x:c>
      <x:c r="K362" t="str">
        <x:v>Active</x:v>
      </x:c>
      <x:c r="L362" t="n">
        <x:v>80</x:v>
      </x:c>
      <x:c r="M362" t="str"/>
      <x:c r="N362" t="n">
        <x:v>0</x:v>
      </x:c>
      <x:c r="O362" t="n">
        <x:v>10</x:v>
      </x:c>
      <x:c r="P362" s="16" t="n">
        <x:v>14550</x:v>
      </x:c>
      <x:c r="Q362" t="n">
        <x:v>1</x:v>
      </x:c>
      <x:c r="R362" t="n">
        <x:v>0</x:v>
      </x:c>
      <x:c r="S362" t="n">
        <x:v>484</x:v>
      </x:c>
      <x:c r="T362" s="18" t="n">
        <x:v>36.340555555555554</x:v>
      </x:c>
      <x:c r="U362" t="n">
        <x:v>22</x:v>
      </x:c>
      <x:c r="V362" t="n">
        <x:v>30</x:v>
      </x:c>
      <x:c r="W362" t="n">
        <x:v>6</x:v>
      </x:c>
      <x:c r="X362" s="18" t="n">
        <x:v>49.833333333333336</x:v>
      </x:c>
      <x:c r="Y362" s="18" t="n">
        <x:v>118.33333333333333</x:v>
      </x:c>
      <x:c r="Z362" s="18" t="n">
        <x:v>4</x:v>
      </x:c>
      <x:c r="AA362" t="n">
        <x:v>0</x:v>
      </x:c>
    </x:row>
    <x:row r="363">
      <x:c r="A363" t="str">
        <x:v>A-ed510f</x:v>
      </x:c>
      <x:c r="B363" t="str">
        <x:v>Company_361</x:v>
      </x:c>
      <x:c r="C363" t="str">
        <x:v>Cybersecurity</x:v>
      </x:c>
      <x:c r="D363" t="str">
        <x:v>IN</x:v>
      </x:c>
      <x:c r="E363" s="14" t="n">
        <x:v>44943</x:v>
      </x:c>
      <x:c r="F363" t="str">
        <x:v>2023-01</x:v>
      </x:c>
      <x:c r="G363" t="str">
        <x:v>partner</x:v>
      </x:c>
      <x:c r="H363" t="str">
        <x:v>Basic</x:v>
      </x:c>
      <x:c r="I363" t="n">
        <x:v>42</x:v>
      </x:c>
      <x:c r="J363" s="1" t="b">
        <x:v>0</x:v>
      </x:c>
      <x:c r="K363" t="str">
        <x:v>Active</x:v>
      </x:c>
      <x:c r="L363" t="n">
        <x:v>714</x:v>
      </x:c>
      <x:c r="M363" t="str"/>
      <x:c r="N363" t="n">
        <x:v>1</x:v>
      </x:c>
      <x:c r="O363" t="n">
        <x:v>10</x:v>
      </x:c>
      <x:c r="P363" s="16" t="n">
        <x:v>35364</x:v>
      </x:c>
      <x:c r="Q363" t="n">
        <x:v>2</x:v>
      </x:c>
      <x:c r="R363" t="n">
        <x:v>0</x:v>
      </x:c>
      <x:c r="S363" t="n">
        <x:v>493</x:v>
      </x:c>
      <x:c r="T363" s="18" t="n">
        <x:v>44.65111111111111</x:v>
      </x:c>
      <x:c r="U363" t="n">
        <x:v>28</x:v>
      </x:c>
      <x:c r="V363" t="n">
        <x:v>27</x:v>
      </x:c>
      <x:c r="W363" t="n">
        <x:v>9</x:v>
      </x:c>
      <x:c r="X363" s="18" t="n">
        <x:v>44.55555555555556</x:v>
      </x:c>
      <x:c r="Y363" s="18" t="n">
        <x:v>82.55555555555556</x:v>
      </x:c>
      <x:c r="Z363" s="18" t="n">
        <x:v>4</x:v>
      </x:c>
      <x:c r="AA363" t="n">
        <x:v>0</x:v>
      </x:c>
    </x:row>
    <x:row r="364">
      <x:c r="A364" t="str">
        <x:v>A-5c9849</x:v>
      </x:c>
      <x:c r="B364" t="str">
        <x:v>Company_362</x:v>
      </x:c>
      <x:c r="C364" t="str">
        <x:v>EdTech</x:v>
      </x:c>
      <x:c r="D364" t="str">
        <x:v>IN</x:v>
      </x:c>
      <x:c r="E364" s="14" t="n">
        <x:v>45599</x:v>
      </x:c>
      <x:c r="F364" t="str">
        <x:v>2024-11</x:v>
      </x:c>
      <x:c r="G364" t="str">
        <x:v>partner</x:v>
      </x:c>
      <x:c r="H364" t="str">
        <x:v>Basic</x:v>
      </x:c>
      <x:c r="I364" t="n">
        <x:v>19</x:v>
      </x:c>
      <x:c r="J364" s="1" t="b">
        <x:v>0</x:v>
      </x:c>
      <x:c r="K364" t="str">
        <x:v>Active</x:v>
      </x:c>
      <x:c r="L364" t="n">
        <x:v>58</x:v>
      </x:c>
      <x:c r="M364" t="str"/>
      <x:c r="N364" t="n">
        <x:v>1</x:v>
      </x:c>
      <x:c r="O364" t="n">
        <x:v>9</x:v>
      </x:c>
      <x:c r="P364" s="16" t="n">
        <x:v>18646</x:v>
      </x:c>
      <x:c r="Q364" t="n">
        <x:v>2</x:v>
      </x:c>
      <x:c r="R364" t="n">
        <x:v>0</x:v>
      </x:c>
      <x:c r="S364" t="n">
        <x:v>473</x:v>
      </x:c>
      <x:c r="T364" s="18" t="n">
        <x:v>42.07861111111111</x:v>
      </x:c>
      <x:c r="U364" t="n">
        <x:v>23</x:v>
      </x:c>
      <x:c r="V364" t="n">
        <x:v>30</x:v>
      </x:c>
      <x:c r="W364" t="n">
        <x:v>4</x:v>
      </x:c>
      <x:c r="X364" s="18" t="n">
        <x:v>59.5</x:v>
      </x:c>
      <x:c r="Y364" s="18" t="n">
        <x:v>41</x:v>
      </x:c>
      <x:c r="Z364" s="18"/>
      <x:c r="AA364" t="n">
        <x:v>1</x:v>
      </x:c>
    </x:row>
    <x:row r="365">
      <x:c r="A365" t="str">
        <x:v>A-a7bd4b</x:v>
      </x:c>
      <x:c r="B365" t="str">
        <x:v>Company_363</x:v>
      </x:c>
      <x:c r="C365" t="str">
        <x:v>Cybersecurity</x:v>
      </x:c>
      <x:c r="D365" t="str">
        <x:v>US</x:v>
      </x:c>
      <x:c r="E365" s="14" t="n">
        <x:v>44972</x:v>
      </x:c>
      <x:c r="F365" t="str">
        <x:v>2023-02</x:v>
      </x:c>
      <x:c r="G365" t="str">
        <x:v>ads</x:v>
      </x:c>
      <x:c r="H365" t="str">
        <x:v>Enterprise</x:v>
      </x:c>
      <x:c r="I365" t="n">
        <x:v>5</x:v>
      </x:c>
      <x:c r="J365" s="1" t="b">
        <x:v>0</x:v>
      </x:c>
      <x:c r="K365" t="str">
        <x:v>Active</x:v>
      </x:c>
      <x:c r="L365" t="n">
        <x:v>685</x:v>
      </x:c>
      <x:c r="M365" t="str"/>
      <x:c r="N365" t="n">
        <x:v>1</x:v>
      </x:c>
      <x:c r="O365" t="n">
        <x:v>11</x:v>
      </x:c>
      <x:c r="P365" s="16" t="n">
        <x:v>5102</x:v>
      </x:c>
      <x:c r="Q365" t="n">
        <x:v>2</x:v>
      </x:c>
      <x:c r="R365" t="n">
        <x:v>0</x:v>
      </x:c>
      <x:c r="S365" t="n">
        <x:v>576</x:v>
      </x:c>
      <x:c r="T365" s="18" t="n">
        <x:v>46.32555555555555</x:v>
      </x:c>
      <x:c r="U365" t="n">
        <x:v>37</x:v>
      </x:c>
      <x:c r="V365" t="n">
        <x:v>29</x:v>
      </x:c>
      <x:c r="W365" t="n">
        <x:v>6</x:v>
      </x:c>
      <x:c r="X365" s="18" t="n">
        <x:v>36.833333333333336</x:v>
      </x:c>
      <x:c r="Y365" s="18" t="n">
        <x:v>86.16666666666667</x:v>
      </x:c>
      <x:c r="Z365" s="18" t="n">
        <x:v>3.25</x:v>
      </x:c>
      <x:c r="AA365" t="n">
        <x:v>0</x:v>
      </x:c>
    </x:row>
    <x:row r="366">
      <x:c r="A366" t="str">
        <x:v>A-d4ac0e</x:v>
      </x:c>
      <x:c r="B366" t="str">
        <x:v>Company_364</x:v>
      </x:c>
      <x:c r="C366" t="str">
        <x:v>DevTools</x:v>
      </x:c>
      <x:c r="D366" t="str">
        <x:v>UK</x:v>
      </x:c>
      <x:c r="E366" s="14" t="n">
        <x:v>45402</x:v>
      </x:c>
      <x:c r="F366" t="str">
        <x:v>2024-04</x:v>
      </x:c>
      <x:c r="G366" t="str">
        <x:v>ads</x:v>
      </x:c>
      <x:c r="H366" t="str">
        <x:v>Basic</x:v>
      </x:c>
      <x:c r="I366" t="n">
        <x:v>18</x:v>
      </x:c>
      <x:c r="J366" s="1" t="b">
        <x:v>0</x:v>
      </x:c>
      <x:c r="K366" t="str">
        <x:v>Active</x:v>
      </x:c>
      <x:c r="L366" t="n">
        <x:v>255</x:v>
      </x:c>
      <x:c r="M366" t="str"/>
      <x:c r="N366" t="n">
        <x:v>0</x:v>
      </x:c>
      <x:c r="O366" t="n">
        <x:v>19</x:v>
      </x:c>
      <x:c r="P366" s="16" t="n">
        <x:v>27215</x:v>
      </x:c>
      <x:c r="Q366" t="n">
        <x:v>3</x:v>
      </x:c>
      <x:c r="R366" t="n">
        <x:v>0</x:v>
      </x:c>
      <x:c r="S366" t="n">
        <x:v>793</x:v>
      </x:c>
      <x:c r="T366" s="18" t="n">
        <x:v>68.2275</x:v>
      </x:c>
      <x:c r="U366" t="n">
        <x:v>53</x:v>
      </x:c>
      <x:c r="V366" t="n">
        <x:v>38</x:v>
      </x:c>
      <x:c r="W366" t="n">
        <x:v>4</x:v>
      </x:c>
      <x:c r="X366" s="18" t="n">
        <x:v>21</x:v>
      </x:c>
      <x:c r="Y366" s="18" t="n">
        <x:v>34</x:v>
      </x:c>
      <x:c r="Z366" s="18" t="n">
        <x:v>3.5</x:v>
      </x:c>
      <x:c r="AA366" t="n">
        <x:v>0</x:v>
      </x:c>
    </x:row>
    <x:row r="367">
      <x:c r="A367" t="str">
        <x:v>A-ffdfd5</x:v>
      </x:c>
      <x:c r="B367" t="str">
        <x:v>Company_365</x:v>
      </x:c>
      <x:c r="C367" t="str">
        <x:v>EdTech</x:v>
      </x:c>
      <x:c r="D367" t="str">
        <x:v>US</x:v>
      </x:c>
      <x:c r="E367" s="14" t="n">
        <x:v>45395</x:v>
      </x:c>
      <x:c r="F367" t="str">
        <x:v>2024-04</x:v>
      </x:c>
      <x:c r="G367" t="str">
        <x:v>organic</x:v>
      </x:c>
      <x:c r="H367" t="str">
        <x:v>Basic</x:v>
      </x:c>
      <x:c r="I367" t="n">
        <x:v>3</x:v>
      </x:c>
      <x:c r="J367" s="1" t="b">
        <x:v>0</x:v>
      </x:c>
      <x:c r="K367" t="str">
        <x:v>Churned</x:v>
      </x:c>
      <x:c r="L367" t="n">
        <x:v>117</x:v>
      </x:c>
      <x:c r="M367" t="str">
        <x:v>features</x:v>
      </x:c>
      <x:c r="N367" t="n">
        <x:v>1</x:v>
      </x:c>
      <x:c r="O367" t="n">
        <x:v>10</x:v>
      </x:c>
      <x:c r="P367" s="16" t="n">
        <x:v>14175</x:v>
      </x:c>
      <x:c r="Q367" t="n">
        <x:v>1</x:v>
      </x:c>
      <x:c r="R367" t="n">
        <x:v>0</x:v>
      </x:c>
      <x:c r="S367" t="n">
        <x:v>529</x:v>
      </x:c>
      <x:c r="T367" s="18" t="n">
        <x:v>38.780277777777776</x:v>
      </x:c>
      <x:c r="U367" t="n">
        <x:v>28</x:v>
      </x:c>
      <x:c r="V367" t="n">
        <x:v>29</x:v>
      </x:c>
      <x:c r="W367" t="n">
        <x:v>0</x:v>
      </x:c>
      <x:c r="X367" s="18"/>
      <x:c r="Y367" s="18"/>
      <x:c r="Z367" s="18"/>
      <x:c r="AA367" t="n">
        <x:v>0</x:v>
      </x:c>
    </x:row>
    <x:row r="368">
      <x:c r="A368" t="str">
        <x:v>A-0dbdc6</x:v>
      </x:c>
      <x:c r="B368" t="str">
        <x:v>Company_366</x:v>
      </x:c>
      <x:c r="C368" t="str">
        <x:v>Cybersecurity</x:v>
      </x:c>
      <x:c r="D368" t="str">
        <x:v>DE</x:v>
      </x:c>
      <x:c r="E368" s="14" t="n">
        <x:v>44969</x:v>
      </x:c>
      <x:c r="F368" t="str">
        <x:v>2023-02</x:v>
      </x:c>
      <x:c r="G368" t="str">
        <x:v>other</x:v>
      </x:c>
      <x:c r="H368" t="str">
        <x:v>Pro</x:v>
      </x:c>
      <x:c r="I368" t="n">
        <x:v>30</x:v>
      </x:c>
      <x:c r="J368" s="1" t="b">
        <x:v>0</x:v>
      </x:c>
      <x:c r="K368" t="str">
        <x:v>Churned</x:v>
      </x:c>
      <x:c r="L368" t="n">
        <x:v>427</x:v>
      </x:c>
      <x:c r="M368" t="str">
        <x:v>pricing</x:v>
      </x:c>
      <x:c r="N368" t="n">
        <x:v>2</x:v>
      </x:c>
      <x:c r="O368" t="n">
        <x:v>9</x:v>
      </x:c>
      <x:c r="P368" s="16" t="n">
        <x:v>28273</x:v>
      </x:c>
      <x:c r="Q368" t="n">
        <x:v>0</x:v>
      </x:c>
      <x:c r="R368" t="n">
        <x:v>0</x:v>
      </x:c>
      <x:c r="S368" t="n">
        <x:v>512</x:v>
      </x:c>
      <x:c r="T368" s="18" t="n">
        <x:v>43.085277777777776</x:v>
      </x:c>
      <x:c r="U368" t="n">
        <x:v>31</x:v>
      </x:c>
      <x:c r="V368" t="n">
        <x:v>32</x:v>
      </x:c>
      <x:c r="W368" t="n">
        <x:v>4</x:v>
      </x:c>
      <x:c r="X368" s="18" t="n">
        <x:v>47</x:v>
      </x:c>
      <x:c r="Y368" s="18" t="n">
        <x:v>95.25</x:v>
      </x:c>
      <x:c r="Z368" s="18" t="n">
        <x:v>5</x:v>
      </x:c>
      <x:c r="AA368" t="n">
        <x:v>0</x:v>
      </x:c>
    </x:row>
    <x:row r="369">
      <x:c r="A369" t="str">
        <x:v>A-7cfe77</x:v>
      </x:c>
      <x:c r="B369" t="str">
        <x:v>Company_367</x:v>
      </x:c>
      <x:c r="C369" t="str">
        <x:v>DevTools</x:v>
      </x:c>
      <x:c r="D369" t="str">
        <x:v>US</x:v>
      </x:c>
      <x:c r="E369" s="14" t="n">
        <x:v>45483</x:v>
      </x:c>
      <x:c r="F369" t="str">
        <x:v>2024-07</x:v>
      </x:c>
      <x:c r="G369" t="str">
        <x:v>ads</x:v>
      </x:c>
      <x:c r="H369" t="str">
        <x:v>Pro</x:v>
      </x:c>
      <x:c r="I369" t="n">
        <x:v>69</x:v>
      </x:c>
      <x:c r="J369" s="1" t="b">
        <x:v>0</x:v>
      </x:c>
      <x:c r="K369" t="str">
        <x:v>Active</x:v>
      </x:c>
      <x:c r="L369" t="n">
        <x:v>174</x:v>
      </x:c>
      <x:c r="M369" t="str"/>
      <x:c r="N369" t="n">
        <x:v>2</x:v>
      </x:c>
      <x:c r="O369" t="n">
        <x:v>5</x:v>
      </x:c>
      <x:c r="P369" s="16" t="n">
        <x:v>12765</x:v>
      </x:c>
      <x:c r="Q369" t="n">
        <x:v>1</x:v>
      </x:c>
      <x:c r="R369" t="n">
        <x:v>1</x:v>
      </x:c>
      <x:c r="S369" t="n">
        <x:v>205</x:v>
      </x:c>
      <x:c r="T369" s="18" t="n">
        <x:v>15.995</x:v>
      </x:c>
      <x:c r="U369" t="n">
        <x:v>11</x:v>
      </x:c>
      <x:c r="V369" t="n">
        <x:v>16</x:v>
      </x:c>
      <x:c r="W369" t="n">
        <x:v>7</x:v>
      </x:c>
      <x:c r="X369" s="18" t="n">
        <x:v>30.714285714285715</x:v>
      </x:c>
      <x:c r="Y369" s="18" t="n">
        <x:v>105.57142857142857</x:v>
      </x:c>
      <x:c r="Z369" s="18" t="n">
        <x:v>3.5</x:v>
      </x:c>
      <x:c r="AA369" t="n">
        <x:v>0</x:v>
      </x:c>
    </x:row>
    <x:row r="370">
      <x:c r="A370" t="str">
        <x:v>A-1f0636</x:v>
      </x:c>
      <x:c r="B370" t="str">
        <x:v>Company_368</x:v>
      </x:c>
      <x:c r="C370" t="str">
        <x:v>EdTech</x:v>
      </x:c>
      <x:c r="D370" t="str">
        <x:v>AU</x:v>
      </x:c>
      <x:c r="E370" s="14" t="n">
        <x:v>45292</x:v>
      </x:c>
      <x:c r="F370" t="str">
        <x:v>2024-01</x:v>
      </x:c>
      <x:c r="G370" t="str">
        <x:v>partner</x:v>
      </x:c>
      <x:c r="H370" t="str">
        <x:v>Pro</x:v>
      </x:c>
      <x:c r="I370" t="n">
        <x:v>105</x:v>
      </x:c>
      <x:c r="J370" s="1" t="b">
        <x:v>0</x:v>
      </x:c>
      <x:c r="K370" t="str">
        <x:v>Active</x:v>
      </x:c>
      <x:c r="L370" t="n">
        <x:v>365</x:v>
      </x:c>
      <x:c r="M370" t="str"/>
      <x:c r="N370" t="n">
        <x:v>0</x:v>
      </x:c>
      <x:c r="O370" t="n">
        <x:v>11</x:v>
      </x:c>
      <x:c r="P370" s="16" t="n">
        <x:v>94710</x:v>
      </x:c>
      <x:c r="Q370" t="n">
        <x:v>3</x:v>
      </x:c>
      <x:c r="R370" t="n">
        <x:v>0</x:v>
      </x:c>
      <x:c r="S370" t="n">
        <x:v>685</x:v>
      </x:c>
      <x:c r="T370" s="18" t="n">
        <x:v>58.922222222222224</x:v>
      </x:c>
      <x:c r="U370" t="n">
        <x:v>30</x:v>
      </x:c>
      <x:c r="V370" t="n">
        <x:v>32</x:v>
      </x:c>
      <x:c r="W370" t="n">
        <x:v>2</x:v>
      </x:c>
      <x:c r="X370" s="18" t="n">
        <x:v>38.5</x:v>
      </x:c>
      <x:c r="Y370" s="18" t="n">
        <x:v>75</x:v>
      </x:c>
      <x:c r="Z370" s="18" t="n">
        <x:v>3.5</x:v>
      </x:c>
      <x:c r="AA370" t="n">
        <x:v>0</x:v>
      </x:c>
    </x:row>
    <x:row r="371">
      <x:c r="A371" t="str">
        <x:v>A-40de06</x:v>
      </x:c>
      <x:c r="B371" t="str">
        <x:v>Company_369</x:v>
      </x:c>
      <x:c r="C371" t="str">
        <x:v>Cybersecurity</x:v>
      </x:c>
      <x:c r="D371" t="str">
        <x:v>US</x:v>
      </x:c>
      <x:c r="E371" s="14" t="n">
        <x:v>45054</x:v>
      </x:c>
      <x:c r="F371" t="str">
        <x:v>2023-05</x:v>
      </x:c>
      <x:c r="G371" t="str">
        <x:v>event</x:v>
      </x:c>
      <x:c r="H371" t="str">
        <x:v>Enterprise</x:v>
      </x:c>
      <x:c r="I371" t="n">
        <x:v>28</x:v>
      </x:c>
      <x:c r="J371" s="1" t="b">
        <x:v>0</x:v>
      </x:c>
      <x:c r="K371" t="str">
        <x:v>Churned</x:v>
      </x:c>
      <x:c r="L371" t="n">
        <x:v>603</x:v>
      </x:c>
      <x:c r="M371" t="str"/>
      <x:c r="N371" t="n">
        <x:v>0</x:v>
      </x:c>
      <x:c r="O371" t="n">
        <x:v>16</x:v>
      </x:c>
      <x:c r="P371" s="16" t="n">
        <x:v>21918</x:v>
      </x:c>
      <x:c r="Q371" t="n">
        <x:v>2</x:v>
      </x:c>
      <x:c r="R371" t="n">
        <x:v>1</x:v>
      </x:c>
      <x:c r="S371" t="n">
        <x:v>902</x:v>
      </x:c>
      <x:c r="T371" s="18" t="n">
        <x:v>74.27777777777777</x:v>
      </x:c>
      <x:c r="U371" t="n">
        <x:v>43</x:v>
      </x:c>
      <x:c r="V371" t="n">
        <x:v>37</x:v>
      </x:c>
      <x:c r="W371" t="n">
        <x:v>3</x:v>
      </x:c>
      <x:c r="X371" s="18" t="n">
        <x:v>40.333333333333336</x:v>
      </x:c>
      <x:c r="Y371" s="18" t="n">
        <x:v>67.66666666666667</x:v>
      </x:c>
      <x:c r="Z371" s="18" t="n">
        <x:v>4</x:v>
      </x:c>
      <x:c r="AA371" t="n">
        <x:v>0</x:v>
      </x:c>
    </x:row>
    <x:row r="372">
      <x:c r="A372" t="str">
        <x:v>A-cb5333</x:v>
      </x:c>
      <x:c r="B372" t="str">
        <x:v>Company_370</x:v>
      </x:c>
      <x:c r="C372" t="str">
        <x:v>DevTools</x:v>
      </x:c>
      <x:c r="D372" t="str">
        <x:v>US</x:v>
      </x:c>
      <x:c r="E372" s="14" t="n">
        <x:v>45377</x:v>
      </x:c>
      <x:c r="F372" t="str">
        <x:v>2024-03</x:v>
      </x:c>
      <x:c r="G372" t="str">
        <x:v>ads</x:v>
      </x:c>
      <x:c r="H372" t="str">
        <x:v>Pro</x:v>
      </x:c>
      <x:c r="I372" t="n">
        <x:v>33</x:v>
      </x:c>
      <x:c r="J372" s="1" t="b">
        <x:v>0</x:v>
      </x:c>
      <x:c r="K372" t="str">
        <x:v>Active</x:v>
      </x:c>
      <x:c r="L372" t="n">
        <x:v>280</x:v>
      </x:c>
      <x:c r="M372" t="str"/>
      <x:c r="N372" t="n">
        <x:v>1</x:v>
      </x:c>
      <x:c r="O372" t="n">
        <x:v>16</x:v>
      </x:c>
      <x:c r="P372" s="16" t="n">
        <x:v>24639</x:v>
      </x:c>
      <x:c r="Q372" t="n">
        <x:v>0</x:v>
      </x:c>
      <x:c r="R372" t="n">
        <x:v>1</x:v>
      </x:c>
      <x:c r="S372" t="n">
        <x:v>796</x:v>
      </x:c>
      <x:c r="T372" s="18" t="n">
        <x:v>73.26861111111111</x:v>
      </x:c>
      <x:c r="U372" t="n">
        <x:v>34</x:v>
      </x:c>
      <x:c r="V372" t="n">
        <x:v>36</x:v>
      </x:c>
      <x:c r="W372" t="n">
        <x:v>4</x:v>
      </x:c>
      <x:c r="X372" s="18" t="n">
        <x:v>30.75</x:v>
      </x:c>
      <x:c r="Y372" s="18" t="n">
        <x:v>85.75</x:v>
      </x:c>
      <x:c r="Z372" s="18" t="n">
        <x:v>3</x:v>
      </x:c>
      <x:c r="AA372" t="n">
        <x:v>0</x:v>
      </x:c>
    </x:row>
    <x:row r="373">
      <x:c r="A373" t="str">
        <x:v>A-309e54</x:v>
      </x:c>
      <x:c r="B373" t="str">
        <x:v>Company_371</x:v>
      </x:c>
      <x:c r="C373" t="str">
        <x:v>DevTools</x:v>
      </x:c>
      <x:c r="D373" t="str">
        <x:v>US</x:v>
      </x:c>
      <x:c r="E373" s="14" t="n">
        <x:v>45635</x:v>
      </x:c>
      <x:c r="F373" t="str">
        <x:v>2024-12</x:v>
      </x:c>
      <x:c r="G373" t="str">
        <x:v>other</x:v>
      </x:c>
      <x:c r="H373" t="str">
        <x:v>Pro</x:v>
      </x:c>
      <x:c r="I373" t="n">
        <x:v>15</x:v>
      </x:c>
      <x:c r="J373" s="1" t="b">
        <x:v>0</x:v>
      </x:c>
      <x:c r="K373" t="str">
        <x:v>Active</x:v>
      </x:c>
      <x:c r="L373" t="n">
        <x:v>22</x:v>
      </x:c>
      <x:c r="M373" t="str"/>
      <x:c r="N373" t="n">
        <x:v>1</x:v>
      </x:c>
      <x:c r="O373" t="n">
        <x:v>11</x:v>
      </x:c>
      <x:c r="P373" s="16" t="n">
        <x:v>26932</x:v>
      </x:c>
      <x:c r="Q373" t="n">
        <x:v>0</x:v>
      </x:c>
      <x:c r="R373" t="n">
        <x:v>1</x:v>
      </x:c>
      <x:c r="S373" t="n">
        <x:v>509</x:v>
      </x:c>
      <x:c r="T373" s="18" t="n">
        <x:v>46.721944444444446</x:v>
      </x:c>
      <x:c r="U373" t="n">
        <x:v>24</x:v>
      </x:c>
      <x:c r="V373" t="n">
        <x:v>28</x:v>
      </x:c>
      <x:c r="W373" t="n">
        <x:v>5</x:v>
      </x:c>
      <x:c r="X373" s="18" t="n">
        <x:v>23.8</x:v>
      </x:c>
      <x:c r="Y373" s="18" t="n">
        <x:v>90.2</x:v>
      </x:c>
      <x:c r="Z373" s="18" t="n">
        <x:v>3</x:v>
      </x:c>
      <x:c r="AA373" t="n">
        <x:v>0</x:v>
      </x:c>
    </x:row>
    <x:row r="374">
      <x:c r="A374" t="str">
        <x:v>A-6e7827</x:v>
      </x:c>
      <x:c r="B374" t="str">
        <x:v>Company_372</x:v>
      </x:c>
      <x:c r="C374" t="str">
        <x:v>DevTools</x:v>
      </x:c>
      <x:c r="D374" t="str">
        <x:v>US</x:v>
      </x:c>
      <x:c r="E374" s="14" t="n">
        <x:v>45011</x:v>
      </x:c>
      <x:c r="F374" t="str">
        <x:v>2023-03</x:v>
      </x:c>
      <x:c r="G374" t="str">
        <x:v>other</x:v>
      </x:c>
      <x:c r="H374" t="str">
        <x:v>Basic</x:v>
      </x:c>
      <x:c r="I374" t="n">
        <x:v>1</x:v>
      </x:c>
      <x:c r="J374" s="1" t="b">
        <x:v>0</x:v>
      </x:c>
      <x:c r="K374" t="str">
        <x:v>Active</x:v>
      </x:c>
      <x:c r="L374" t="n">
        <x:v>646</x:v>
      </x:c>
      <x:c r="M374" t="str"/>
      <x:c r="N374" t="n">
        <x:v>2</x:v>
      </x:c>
      <x:c r="O374" t="n">
        <x:v>9</x:v>
      </x:c>
      <x:c r="P374" s="16" t="n">
        <x:v>5894</x:v>
      </x:c>
      <x:c r="Q374" t="n">
        <x:v>3</x:v>
      </x:c>
      <x:c r="R374" t="n">
        <x:v>0</x:v>
      </x:c>
      <x:c r="S374" t="n">
        <x:v>419</x:v>
      </x:c>
      <x:c r="T374" s="18" t="n">
        <x:v>34.25194444444445</x:v>
      </x:c>
      <x:c r="U374" t="n">
        <x:v>31</x:v>
      </x:c>
      <x:c r="V374" t="n">
        <x:v>24</x:v>
      </x:c>
      <x:c r="W374" t="n">
        <x:v>2</x:v>
      </x:c>
      <x:c r="X374" s="18" t="n">
        <x:v>51</x:v>
      </x:c>
      <x:c r="Y374" s="18" t="n">
        <x:v>83.5</x:v>
      </x:c>
      <x:c r="Z374" s="18" t="n">
        <x:v>3.5</x:v>
      </x:c>
      <x:c r="AA374" t="n">
        <x:v>0</x:v>
      </x:c>
    </x:row>
    <x:row r="375">
      <x:c r="A375" t="str">
        <x:v>A-50bb9f</x:v>
      </x:c>
      <x:c r="B375" t="str">
        <x:v>Company_373</x:v>
      </x:c>
      <x:c r="C375" t="str">
        <x:v>Cybersecurity</x:v>
      </x:c>
      <x:c r="D375" t="str">
        <x:v>US</x:v>
      </x:c>
      <x:c r="E375" s="14" t="n">
        <x:v>45485</x:v>
      </x:c>
      <x:c r="F375" t="str">
        <x:v>2024-07</x:v>
      </x:c>
      <x:c r="G375" t="str">
        <x:v>organic</x:v>
      </x:c>
      <x:c r="H375" t="str">
        <x:v>Pro</x:v>
      </x:c>
      <x:c r="I375" t="n">
        <x:v>2</x:v>
      </x:c>
      <x:c r="J375" s="1" t="b">
        <x:v>0</x:v>
      </x:c>
      <x:c r="K375" t="str">
        <x:v>Active</x:v>
      </x:c>
      <x:c r="L375" t="n">
        <x:v>172</x:v>
      </x:c>
      <x:c r="M375" t="str"/>
      <x:c r="N375" t="n">
        <x:v>2</x:v>
      </x:c>
      <x:c r="O375" t="n">
        <x:v>8</x:v>
      </x:c>
      <x:c r="P375" s="16" t="n">
        <x:v>15499</x:v>
      </x:c>
      <x:c r="Q375" t="n">
        <x:v>2</x:v>
      </x:c>
      <x:c r="R375" t="n">
        <x:v>0</x:v>
      </x:c>
      <x:c r="S375" t="n">
        <x:v>276</x:v>
      </x:c>
      <x:c r="T375" s="18" t="n">
        <x:v>27.59111111111111</x:v>
      </x:c>
      <x:c r="U375" t="n">
        <x:v>15</x:v>
      </x:c>
      <x:c r="V375" t="n">
        <x:v>18</x:v>
      </x:c>
      <x:c r="W375" t="n">
        <x:v>7</x:v>
      </x:c>
      <x:c r="X375" s="18" t="n">
        <x:v>33.285714285714285</x:v>
      </x:c>
      <x:c r="Y375" s="18" t="n">
        <x:v>74.71428571428571</x:v>
      </x:c>
      <x:c r="Z375" s="18" t="n">
        <x:v>4</x:v>
      </x:c>
      <x:c r="AA375" t="n">
        <x:v>0</x:v>
      </x:c>
    </x:row>
    <x:row r="376">
      <x:c r="A376" t="str">
        <x:v>A-5fe118</x:v>
      </x:c>
      <x:c r="B376" t="str">
        <x:v>Company_374</x:v>
      </x:c>
      <x:c r="C376" t="str">
        <x:v>Cybersecurity</x:v>
      </x:c>
      <x:c r="D376" t="str">
        <x:v>US</x:v>
      </x:c>
      <x:c r="E376" s="14" t="n">
        <x:v>45603</x:v>
      </x:c>
      <x:c r="F376" t="str">
        <x:v>2024-11</x:v>
      </x:c>
      <x:c r="G376" t="str">
        <x:v>other</x:v>
      </x:c>
      <x:c r="H376" t="str">
        <x:v>Enterprise</x:v>
      </x:c>
      <x:c r="I376" t="n">
        <x:v>39</x:v>
      </x:c>
      <x:c r="J376" s="1" t="b">
        <x:v>0</x:v>
      </x:c>
      <x:c r="K376" t="str">
        <x:v>Active</x:v>
      </x:c>
      <x:c r="L376" t="n">
        <x:v>54</x:v>
      </x:c>
      <x:c r="M376" t="str"/>
      <x:c r="N376" t="n">
        <x:v>1</x:v>
      </x:c>
      <x:c r="O376" t="n">
        <x:v>5</x:v>
      </x:c>
      <x:c r="P376" s="16" t="n">
        <x:v>22290</x:v>
      </x:c>
      <x:c r="Q376" t="n">
        <x:v>0</x:v>
      </x:c>
      <x:c r="R376" t="n">
        <x:v>0</x:v>
      </x:c>
      <x:c r="S376" t="n">
        <x:v>233</x:v>
      </x:c>
      <x:c r="T376" s="18" t="n">
        <x:v>16.639444444444443</x:v>
      </x:c>
      <x:c r="U376" t="n">
        <x:v>12</x:v>
      </x:c>
      <x:c r="V376" t="n">
        <x:v>14</x:v>
      </x:c>
      <x:c r="W376" t="n">
        <x:v>1</x:v>
      </x:c>
      <x:c r="X376" s="18" t="n">
        <x:v>19</x:v>
      </x:c>
      <x:c r="Y376" s="18" t="n">
        <x:v>26</x:v>
      </x:c>
      <x:c r="Z376" s="18" t="n">
        <x:v>4</x:v>
      </x:c>
      <x:c r="AA376" t="n">
        <x:v>0</x:v>
      </x:c>
    </x:row>
    <x:row r="377">
      <x:c r="A377" t="str">
        <x:v>A-5247b3</x:v>
      </x:c>
      <x:c r="B377" t="str">
        <x:v>Company_375</x:v>
      </x:c>
      <x:c r="C377" t="str">
        <x:v>FinTech</x:v>
      </x:c>
      <x:c r="D377" t="str">
        <x:v>UK</x:v>
      </x:c>
      <x:c r="E377" s="14" t="n">
        <x:v>45363</x:v>
      </x:c>
      <x:c r="F377" t="str">
        <x:v>2024-03</x:v>
      </x:c>
      <x:c r="G377" t="str">
        <x:v>partner</x:v>
      </x:c>
      <x:c r="H377" t="str">
        <x:v>Pro</x:v>
      </x:c>
      <x:c r="I377" t="n">
        <x:v>16</x:v>
      </x:c>
      <x:c r="J377" s="1" t="b">
        <x:v>1</x:v>
      </x:c>
      <x:c r="K377" t="str">
        <x:v>Active</x:v>
      </x:c>
      <x:c r="L377" t="n">
        <x:v>294</x:v>
      </x:c>
      <x:c r="M377" t="str"/>
      <x:c r="N377" t="n">
        <x:v>2</x:v>
      </x:c>
      <x:c r="O377" t="n">
        <x:v>11</x:v>
      </x:c>
      <x:c r="P377" s="16" t="n">
        <x:v>11791</x:v>
      </x:c>
      <x:c r="Q377" t="n">
        <x:v>3</x:v>
      </x:c>
      <x:c r="R377" t="n">
        <x:v>0</x:v>
      </x:c>
      <x:c r="S377" t="n">
        <x:v>610</x:v>
      </x:c>
      <x:c r="T377" s="18" t="n">
        <x:v>49.22555555555556</x:v>
      </x:c>
      <x:c r="U377" t="n">
        <x:v>29</x:v>
      </x:c>
      <x:c r="V377" t="n">
        <x:v>32</x:v>
      </x:c>
      <x:c r="W377" t="n">
        <x:v>5</x:v>
      </x:c>
      <x:c r="X377" s="18" t="n">
        <x:v>45.8</x:v>
      </x:c>
      <x:c r="Y377" s="18" t="n">
        <x:v>96.6</x:v>
      </x:c>
      <x:c r="Z377" s="18" t="n">
        <x:v>4</x:v>
      </x:c>
      <x:c r="AA377" t="n">
        <x:v>0</x:v>
      </x:c>
    </x:row>
    <x:row r="378">
      <x:c r="A378" t="str">
        <x:v>A-f44180</x:v>
      </x:c>
      <x:c r="B378" t="str">
        <x:v>Company_376</x:v>
      </x:c>
      <x:c r="C378" t="str">
        <x:v>Cybersecurity</x:v>
      </x:c>
      <x:c r="D378" t="str">
        <x:v>UK</x:v>
      </x:c>
      <x:c r="E378" s="14" t="n">
        <x:v>44970</x:v>
      </x:c>
      <x:c r="F378" t="str">
        <x:v>2023-02</x:v>
      </x:c>
      <x:c r="G378" t="str">
        <x:v>event</x:v>
      </x:c>
      <x:c r="H378" t="str">
        <x:v>Pro</x:v>
      </x:c>
      <x:c r="I378" t="n">
        <x:v>9</x:v>
      </x:c>
      <x:c r="J378" s="1" t="b">
        <x:v>0</x:v>
      </x:c>
      <x:c r="K378" t="str">
        <x:v>Active</x:v>
      </x:c>
      <x:c r="L378" t="n">
        <x:v>687</x:v>
      </x:c>
      <x:c r="M378" t="str"/>
      <x:c r="N378" t="n">
        <x:v>1</x:v>
      </x:c>
      <x:c r="O378" t="n">
        <x:v>11</x:v>
      </x:c>
      <x:c r="P378" s="16" t="n">
        <x:v>9286</x:v>
      </x:c>
      <x:c r="Q378" t="n">
        <x:v>0</x:v>
      </x:c>
      <x:c r="R378" t="n">
        <x:v>0</x:v>
      </x:c>
      <x:c r="S378" t="n">
        <x:v>520</x:v>
      </x:c>
      <x:c r="T378" s="18" t="n">
        <x:v>45.589166666666664</x:v>
      </x:c>
      <x:c r="U378" t="n">
        <x:v>22</x:v>
      </x:c>
      <x:c r="V378" t="n">
        <x:v>27</x:v>
      </x:c>
      <x:c r="W378" t="n">
        <x:v>2</x:v>
      </x:c>
      <x:c r="X378" s="18" t="n">
        <x:v>46.5</x:v>
      </x:c>
      <x:c r="Y378" s="18" t="n">
        <x:v>123</x:v>
      </x:c>
      <x:c r="Z378" s="18" t="n">
        <x:v>5</x:v>
      </x:c>
      <x:c r="AA378" t="n">
        <x:v>0</x:v>
      </x:c>
    </x:row>
    <x:row r="379">
      <x:c r="A379" t="str">
        <x:v>A-c16cf7</x:v>
      </x:c>
      <x:c r="B379" t="str">
        <x:v>Company_377</x:v>
      </x:c>
      <x:c r="C379" t="str">
        <x:v>EdTech</x:v>
      </x:c>
      <x:c r="D379" t="str">
        <x:v>US</x:v>
      </x:c>
      <x:c r="E379" s="14" t="n">
        <x:v>45581</x:v>
      </x:c>
      <x:c r="F379" t="str">
        <x:v>2024-10</x:v>
      </x:c>
      <x:c r="G379" t="str">
        <x:v>event</x:v>
      </x:c>
      <x:c r="H379" t="str">
        <x:v>Pro</x:v>
      </x:c>
      <x:c r="I379" t="n">
        <x:v>13</x:v>
      </x:c>
      <x:c r="J379" s="1" t="b">
        <x:v>1</x:v>
      </x:c>
      <x:c r="K379" t="str">
        <x:v>Active</x:v>
      </x:c>
      <x:c r="L379" t="n">
        <x:v>76</x:v>
      </x:c>
      <x:c r="M379" t="str"/>
      <x:c r="N379" t="n">
        <x:v>2</x:v>
      </x:c>
      <x:c r="O379" t="n">
        <x:v>10</x:v>
      </x:c>
      <x:c r="P379" s="16" t="n">
        <x:v>7498</x:v>
      </x:c>
      <x:c r="Q379" t="n">
        <x:v>0</x:v>
      </x:c>
      <x:c r="R379" t="n">
        <x:v>0</x:v>
      </x:c>
      <x:c r="S379" t="n">
        <x:v>577</x:v>
      </x:c>
      <x:c r="T379" s="18" t="n">
        <x:v>40.235</x:v>
      </x:c>
      <x:c r="U379" t="n">
        <x:v>26</x:v>
      </x:c>
      <x:c r="V379" t="n">
        <x:v>33</x:v>
      </x:c>
      <x:c r="W379" t="n">
        <x:v>3</x:v>
      </x:c>
      <x:c r="X379" s="18" t="n">
        <x:v>48.333333333333336</x:v>
      </x:c>
      <x:c r="Y379" s="18" t="n">
        <x:v>111.66666666666667</x:v>
      </x:c>
      <x:c r="Z379" s="18" t="n">
        <x:v>3.5</x:v>
      </x:c>
      <x:c r="AA379" t="n">
        <x:v>0</x:v>
      </x:c>
    </x:row>
    <x:row r="380">
      <x:c r="A380" t="str">
        <x:v>A-d42431</x:v>
      </x:c>
      <x:c r="B380" t="str">
        <x:v>Company_378</x:v>
      </x:c>
      <x:c r="C380" t="str">
        <x:v>FinTech</x:v>
      </x:c>
      <x:c r="D380" t="str">
        <x:v>FR</x:v>
      </x:c>
      <x:c r="E380" s="14" t="n">
        <x:v>45452</x:v>
      </x:c>
      <x:c r="F380" t="str">
        <x:v>2024-06</x:v>
      </x:c>
      <x:c r="G380" t="str">
        <x:v>ads</x:v>
      </x:c>
      <x:c r="H380" t="str">
        <x:v>Enterprise</x:v>
      </x:c>
      <x:c r="I380" t="n">
        <x:v>22</x:v>
      </x:c>
      <x:c r="J380" s="1" t="b">
        <x:v>1</x:v>
      </x:c>
      <x:c r="K380" t="str">
        <x:v>Active</x:v>
      </x:c>
      <x:c r="L380" t="n">
        <x:v>205</x:v>
      </x:c>
      <x:c r="M380" t="str"/>
      <x:c r="N380" t="n">
        <x:v>2</x:v>
      </x:c>
      <x:c r="O380" t="n">
        <x:v>9</x:v>
      </x:c>
      <x:c r="P380" s="16" t="n">
        <x:v>20742</x:v>
      </x:c>
      <x:c r="Q380" t="n">
        <x:v>1</x:v>
      </x:c>
      <x:c r="R380" t="n">
        <x:v>1</x:v>
      </x:c>
      <x:c r="S380" t="n">
        <x:v>457</x:v>
      </x:c>
      <x:c r="T380" s="18" t="n">
        <x:v>37.184444444444445</x:v>
      </x:c>
      <x:c r="U380" t="n">
        <x:v>34</x:v>
      </x:c>
      <x:c r="V380" t="n">
        <x:v>26</x:v>
      </x:c>
      <x:c r="W380" t="n">
        <x:v>4</x:v>
      </x:c>
      <x:c r="X380" s="18" t="n">
        <x:v>24.25</x:v>
      </x:c>
      <x:c r="Y380" s="18" t="n">
        <x:v>119.5</x:v>
      </x:c>
      <x:c r="Z380" s="18" t="n">
        <x:v>4</x:v>
      </x:c>
      <x:c r="AA380" t="n">
        <x:v>0</x:v>
      </x:c>
    </x:row>
    <x:row r="381">
      <x:c r="A381" t="str">
        <x:v>A-6965e1</x:v>
      </x:c>
      <x:c r="B381" t="str">
        <x:v>Company_379</x:v>
      </x:c>
      <x:c r="C381" t="str">
        <x:v>DevTools</x:v>
      </x:c>
      <x:c r="D381" t="str">
        <x:v>US</x:v>
      </x:c>
      <x:c r="E381" s="14" t="n">
        <x:v>45621</x:v>
      </x:c>
      <x:c r="F381" t="str">
        <x:v>2024-11</x:v>
      </x:c>
      <x:c r="G381" t="str">
        <x:v>organic</x:v>
      </x:c>
      <x:c r="H381" t="str">
        <x:v>Basic</x:v>
      </x:c>
      <x:c r="I381" t="n">
        <x:v>13</x:v>
      </x:c>
      <x:c r="J381" s="1" t="b">
        <x:v>0</x:v>
      </x:c>
      <x:c r="K381" t="str">
        <x:v>Active</x:v>
      </x:c>
      <x:c r="L381" t="n">
        <x:v>36</x:v>
      </x:c>
      <x:c r="M381" t="str"/>
      <x:c r="N381" t="n">
        <x:v>3</x:v>
      </x:c>
      <x:c r="O381" t="n">
        <x:v>12</x:v>
      </x:c>
      <x:c r="P381" s="16" t="n">
        <x:v>27765</x:v>
      </x:c>
      <x:c r="Q381" t="n">
        <x:v>1</x:v>
      </x:c>
      <x:c r="R381" t="n">
        <x:v>1</x:v>
      </x:c>
      <x:c r="S381" t="n">
        <x:v>627</x:v>
      </x:c>
      <x:c r="T381" s="18" t="n">
        <x:v>52.265</x:v>
      </x:c>
      <x:c r="U381" t="n">
        <x:v>29</x:v>
      </x:c>
      <x:c r="V381" t="n">
        <x:v>27</x:v>
      </x:c>
      <x:c r="W381" t="n">
        <x:v>3</x:v>
      </x:c>
      <x:c r="X381" s="18" t="n">
        <x:v>39</x:v>
      </x:c>
      <x:c r="Y381" s="18" t="n">
        <x:v>128.33333333333334</x:v>
      </x:c>
      <x:c r="Z381" s="18" t="n">
        <x:v>3</x:v>
      </x:c>
      <x:c r="AA381" t="n">
        <x:v>0</x:v>
      </x:c>
    </x:row>
    <x:row r="382">
      <x:c r="A382" t="str">
        <x:v>A-0354fe</x:v>
      </x:c>
      <x:c r="B382" t="str">
        <x:v>Company_380</x:v>
      </x:c>
      <x:c r="C382" t="str">
        <x:v>Cybersecurity</x:v>
      </x:c>
      <x:c r="D382" t="str">
        <x:v>US</x:v>
      </x:c>
      <x:c r="E382" s="14" t="n">
        <x:v>45587</x:v>
      </x:c>
      <x:c r="F382" t="str">
        <x:v>2024-10</x:v>
      </x:c>
      <x:c r="G382" t="str">
        <x:v>other</x:v>
      </x:c>
      <x:c r="H382" t="str">
        <x:v>Basic</x:v>
      </x:c>
      <x:c r="I382" t="n">
        <x:v>34</x:v>
      </x:c>
      <x:c r="J382" s="1" t="b">
        <x:v>0</x:v>
      </x:c>
      <x:c r="K382" t="str">
        <x:v>Active</x:v>
      </x:c>
      <x:c r="L382" t="n">
        <x:v>70</x:v>
      </x:c>
      <x:c r="M382" t="str"/>
      <x:c r="N382" t="n">
        <x:v>2</x:v>
      </x:c>
      <x:c r="O382" t="n">
        <x:v>7</x:v>
      </x:c>
      <x:c r="P382" s="16" t="n">
        <x:v>14824</x:v>
      </x:c>
      <x:c r="Q382" t="n">
        <x:v>1</x:v>
      </x:c>
      <x:c r="R382" t="n">
        <x:v>0</x:v>
      </x:c>
      <x:c r="S382" t="n">
        <x:v>463</x:v>
      </x:c>
      <x:c r="T382" s="18" t="n">
        <x:v>42.34305555555556</x:v>
      </x:c>
      <x:c r="U382" t="n">
        <x:v>30</x:v>
      </x:c>
      <x:c r="V382" t="n">
        <x:v>28</x:v>
      </x:c>
      <x:c r="W382" t="n">
        <x:v>4</x:v>
      </x:c>
      <x:c r="X382" s="18" t="n">
        <x:v>20</x:v>
      </x:c>
      <x:c r="Y382" s="18" t="n">
        <x:v>69.25</x:v>
      </x:c>
      <x:c r="Z382" s="18" t="n">
        <x:v>4</x:v>
      </x:c>
      <x:c r="AA382" t="n">
        <x:v>0</x:v>
      </x:c>
    </x:row>
    <x:row r="383">
      <x:c r="A383" t="str">
        <x:v>A-0a62f5</x:v>
      </x:c>
      <x:c r="B383" t="str">
        <x:v>Company_381</x:v>
      </x:c>
      <x:c r="C383" t="str">
        <x:v>FinTech</x:v>
      </x:c>
      <x:c r="D383" t="str">
        <x:v>UK</x:v>
      </x:c>
      <x:c r="E383" s="14" t="n">
        <x:v>45546</x:v>
      </x:c>
      <x:c r="F383" t="str">
        <x:v>2024-09</x:v>
      </x:c>
      <x:c r="G383" t="str">
        <x:v>partner</x:v>
      </x:c>
      <x:c r="H383" t="str">
        <x:v>Pro</x:v>
      </x:c>
      <x:c r="I383" t="n">
        <x:v>16</x:v>
      </x:c>
      <x:c r="J383" s="1" t="b">
        <x:v>0</x:v>
      </x:c>
      <x:c r="K383" t="str">
        <x:v>Active</x:v>
      </x:c>
      <x:c r="L383" t="n">
        <x:v>111</x:v>
      </x:c>
      <x:c r="M383" t="str"/>
      <x:c r="N383" t="n">
        <x:v>5</x:v>
      </x:c>
      <x:c r="O383" t="n">
        <x:v>4</x:v>
      </x:c>
      <x:c r="P383" s="16" t="n">
        <x:v>4861</x:v>
      </x:c>
      <x:c r="Q383" t="n">
        <x:v>0</x:v>
      </x:c>
      <x:c r="R383" t="n">
        <x:v>0</x:v>
      </x:c>
      <x:c r="S383" t="n">
        <x:v>244</x:v>
      </x:c>
      <x:c r="T383" s="18" t="n">
        <x:v>20.802777777777777</x:v>
      </x:c>
      <x:c r="U383" t="n">
        <x:v>7</x:v>
      </x:c>
      <x:c r="V383" t="n">
        <x:v>20</x:v>
      </x:c>
      <x:c r="W383" t="n">
        <x:v>2</x:v>
      </x:c>
      <x:c r="X383" s="18" t="n">
        <x:v>33.5</x:v>
      </x:c>
      <x:c r="Y383" s="18" t="n">
        <x:v>105</x:v>
      </x:c>
      <x:c r="Z383" s="18"/>
      <x:c r="AA383" t="n">
        <x:v>0</x:v>
      </x:c>
    </x:row>
    <x:row r="384">
      <x:c r="A384" t="str">
        <x:v>A-f5641b</x:v>
      </x:c>
      <x:c r="B384" t="str">
        <x:v>Company_382</x:v>
      </x:c>
      <x:c r="C384" t="str">
        <x:v>EdTech</x:v>
      </x:c>
      <x:c r="D384" t="str">
        <x:v>US</x:v>
      </x:c>
      <x:c r="E384" s="14" t="n">
        <x:v>45381</x:v>
      </x:c>
      <x:c r="F384" t="str">
        <x:v>2024-03</x:v>
      </x:c>
      <x:c r="G384" t="str">
        <x:v>other</x:v>
      </x:c>
      <x:c r="H384" t="str">
        <x:v>Pro</x:v>
      </x:c>
      <x:c r="I384" t="n">
        <x:v>31</x:v>
      </x:c>
      <x:c r="J384" s="1" t="b">
        <x:v>0</x:v>
      </x:c>
      <x:c r="K384" t="str">
        <x:v>Active</x:v>
      </x:c>
      <x:c r="L384" t="n">
        <x:v>276</x:v>
      </x:c>
      <x:c r="M384" t="str"/>
      <x:c r="N384" t="n">
        <x:v>2</x:v>
      </x:c>
      <x:c r="O384" t="n">
        <x:v>10</x:v>
      </x:c>
      <x:c r="P384" s="16" t="n">
        <x:v>32951</x:v>
      </x:c>
      <x:c r="Q384" t="n">
        <x:v>1</x:v>
      </x:c>
      <x:c r="R384" t="n">
        <x:v>1</x:v>
      </x:c>
      <x:c r="S384" t="n">
        <x:v>438</x:v>
      </x:c>
      <x:c r="T384" s="18" t="n">
        <x:v>39.346944444444446</x:v>
      </x:c>
      <x:c r="U384" t="n">
        <x:v>18</x:v>
      </x:c>
      <x:c r="V384" t="n">
        <x:v>27</x:v>
      </x:c>
      <x:c r="W384" t="n">
        <x:v>4</x:v>
      </x:c>
      <x:c r="X384" s="18" t="n">
        <x:v>47.5</x:v>
      </x:c>
      <x:c r="Y384" s="18" t="n">
        <x:v>98</x:v>
      </x:c>
      <x:c r="Z384" s="18" t="n">
        <x:v>3</x:v>
      </x:c>
      <x:c r="AA384" t="n">
        <x:v>1</x:v>
      </x:c>
    </x:row>
    <x:row r="385">
      <x:c r="A385" t="str">
        <x:v>A-b44e3e</x:v>
      </x:c>
      <x:c r="B385" t="str">
        <x:v>Company_383</x:v>
      </x:c>
      <x:c r="C385" t="str">
        <x:v>Cybersecurity</x:v>
      </x:c>
      <x:c r="D385" t="str">
        <x:v>UK</x:v>
      </x:c>
      <x:c r="E385" s="14" t="n">
        <x:v>45334</x:v>
      </x:c>
      <x:c r="F385" t="str">
        <x:v>2024-02</x:v>
      </x:c>
      <x:c r="G385" t="str">
        <x:v>ads</x:v>
      </x:c>
      <x:c r="H385" t="str">
        <x:v>Basic</x:v>
      </x:c>
      <x:c r="I385" t="n">
        <x:v>40</x:v>
      </x:c>
      <x:c r="J385" s="1" t="b">
        <x:v>0</x:v>
      </x:c>
      <x:c r="K385" t="str">
        <x:v>Active</x:v>
      </x:c>
      <x:c r="L385" t="n">
        <x:v>323</x:v>
      </x:c>
      <x:c r="M385" t="str"/>
      <x:c r="N385" t="n">
        <x:v>1</x:v>
      </x:c>
      <x:c r="O385" t="n">
        <x:v>7</x:v>
      </x:c>
      <x:c r="P385" s="16" t="n">
        <x:v>35561</x:v>
      </x:c>
      <x:c r="Q385" t="n">
        <x:v>3</x:v>
      </x:c>
      <x:c r="R385" t="n">
        <x:v>0</x:v>
      </x:c>
      <x:c r="S385" t="n">
        <x:v>387</x:v>
      </x:c>
      <x:c r="T385" s="18" t="n">
        <x:v>31.920277777777777</x:v>
      </x:c>
      <x:c r="U385" t="n">
        <x:v>13</x:v>
      </x:c>
      <x:c r="V385" t="n">
        <x:v>20</x:v>
      </x:c>
      <x:c r="W385" t="n">
        <x:v>3</x:v>
      </x:c>
      <x:c r="X385" s="18" t="n">
        <x:v>40</x:v>
      </x:c>
      <x:c r="Y385" s="18" t="n">
        <x:v>75.33333333333333</x:v>
      </x:c>
      <x:c r="Z385" s="18" t="n">
        <x:v>4.333333333333333</x:v>
      </x:c>
      <x:c r="AA385" t="n">
        <x:v>0</x:v>
      </x:c>
    </x:row>
    <x:row r="386">
      <x:c r="A386" t="str">
        <x:v>A-3b37d9</x:v>
      </x:c>
      <x:c r="B386" t="str">
        <x:v>Company_384</x:v>
      </x:c>
      <x:c r="C386" t="str">
        <x:v>FinTech</x:v>
      </x:c>
      <x:c r="D386" t="str">
        <x:v>US</x:v>
      </x:c>
      <x:c r="E386" s="14" t="n">
        <x:v>44953</x:v>
      </x:c>
      <x:c r="F386" t="str">
        <x:v>2023-01</x:v>
      </x:c>
      <x:c r="G386" t="str">
        <x:v>event</x:v>
      </x:c>
      <x:c r="H386" t="str">
        <x:v>Enterprise</x:v>
      </x:c>
      <x:c r="I386" t="n">
        <x:v>23</x:v>
      </x:c>
      <x:c r="J386" s="1" t="b">
        <x:v>0</x:v>
      </x:c>
      <x:c r="K386" t="str">
        <x:v>Active</x:v>
      </x:c>
      <x:c r="L386" t="n">
        <x:v>704</x:v>
      </x:c>
      <x:c r="M386" t="str"/>
      <x:c r="N386" t="n">
        <x:v>2</x:v>
      </x:c>
      <x:c r="O386" t="n">
        <x:v>7</x:v>
      </x:c>
      <x:c r="P386" s="16" t="n">
        <x:v>14858</x:v>
      </x:c>
      <x:c r="Q386" t="n">
        <x:v>2</x:v>
      </x:c>
      <x:c r="R386" t="n">
        <x:v>0</x:v>
      </x:c>
      <x:c r="S386" t="n">
        <x:v>451</x:v>
      </x:c>
      <x:c r="T386" s="18" t="n">
        <x:v>35.58861111111111</x:v>
      </x:c>
      <x:c r="U386" t="n">
        <x:v>21</x:v>
      </x:c>
      <x:c r="V386" t="n">
        <x:v>26</x:v>
      </x:c>
      <x:c r="W386" t="n">
        <x:v>5</x:v>
      </x:c>
      <x:c r="X386" s="18" t="n">
        <x:v>36</x:v>
      </x:c>
      <x:c r="Y386" s="18" t="n">
        <x:v>89.8</x:v>
      </x:c>
      <x:c r="Z386" s="18" t="n">
        <x:v>4.5</x:v>
      </x:c>
      <x:c r="AA386" t="n">
        <x:v>0</x:v>
      </x:c>
    </x:row>
    <x:row r="387">
      <x:c r="A387" t="str">
        <x:v>A-54d94a</x:v>
      </x:c>
      <x:c r="B387" t="str">
        <x:v>Company_385</x:v>
      </x:c>
      <x:c r="C387" t="str">
        <x:v>Cybersecurity</x:v>
      </x:c>
      <x:c r="D387" t="str">
        <x:v>IN</x:v>
      </x:c>
      <x:c r="E387" s="14" t="n">
        <x:v>45047</x:v>
      </x:c>
      <x:c r="F387" t="str">
        <x:v>2023-05</x:v>
      </x:c>
      <x:c r="G387" t="str">
        <x:v>event</x:v>
      </x:c>
      <x:c r="H387" t="str">
        <x:v>Basic</x:v>
      </x:c>
      <x:c r="I387" t="n">
        <x:v>27</x:v>
      </x:c>
      <x:c r="J387" s="1" t="b">
        <x:v>0</x:v>
      </x:c>
      <x:c r="K387" t="str">
        <x:v>Active</x:v>
      </x:c>
      <x:c r="L387" t="n">
        <x:v>610</x:v>
      </x:c>
      <x:c r="M387" t="str"/>
      <x:c r="N387" t="n">
        <x:v>0</x:v>
      </x:c>
      <x:c r="O387" t="n">
        <x:v>11</x:v>
      </x:c>
      <x:c r="P387" s="16" t="n">
        <x:v>12557</x:v>
      </x:c>
      <x:c r="Q387" t="n">
        <x:v>1</x:v>
      </x:c>
      <x:c r="R387" t="n">
        <x:v>1</x:v>
      </x:c>
      <x:c r="S387" t="n">
        <x:v>582</x:v>
      </x:c>
      <x:c r="T387" s="18" t="n">
        <x:v>48.37833333333333</x:v>
      </x:c>
      <x:c r="U387" t="n">
        <x:v>28</x:v>
      </x:c>
      <x:c r="V387" t="n">
        <x:v>30</x:v>
      </x:c>
      <x:c r="W387" t="n">
        <x:v>4</x:v>
      </x:c>
      <x:c r="X387" s="18" t="n">
        <x:v>53.75</x:v>
      </x:c>
      <x:c r="Y387" s="18" t="n">
        <x:v>82.75</x:v>
      </x:c>
      <x:c r="Z387" s="18" t="n">
        <x:v>3.5</x:v>
      </x:c>
      <x:c r="AA387" t="n">
        <x:v>0</x:v>
      </x:c>
    </x:row>
    <x:row r="388">
      <x:c r="A388" t="str">
        <x:v>A-7f29a7</x:v>
      </x:c>
      <x:c r="B388" t="str">
        <x:v>Company_386</x:v>
      </x:c>
      <x:c r="C388" t="str">
        <x:v>Cybersecurity</x:v>
      </x:c>
      <x:c r="D388" t="str">
        <x:v>UK</x:v>
      </x:c>
      <x:c r="E388" s="14" t="n">
        <x:v>45553</x:v>
      </x:c>
      <x:c r="F388" t="str">
        <x:v>2024-09</x:v>
      </x:c>
      <x:c r="G388" t="str">
        <x:v>event</x:v>
      </x:c>
      <x:c r="H388" t="str">
        <x:v>Basic</x:v>
      </x:c>
      <x:c r="I388" t="n">
        <x:v>41</x:v>
      </x:c>
      <x:c r="J388" s="1" t="b">
        <x:v>1</x:v>
      </x:c>
      <x:c r="K388" t="str">
        <x:v>Active</x:v>
      </x:c>
      <x:c r="L388" t="n">
        <x:v>104</x:v>
      </x:c>
      <x:c r="M388" t="str"/>
      <x:c r="N388" t="n">
        <x:v>1</x:v>
      </x:c>
      <x:c r="O388" t="n">
        <x:v>11</x:v>
      </x:c>
      <x:c r="P388" s="16" t="n">
        <x:v>9143</x:v>
      </x:c>
      <x:c r="Q388" t="n">
        <x:v>0</x:v>
      </x:c>
      <x:c r="R388" t="n">
        <x:v>0</x:v>
      </x:c>
      <x:c r="S388" t="n">
        <x:v>619</x:v>
      </x:c>
      <x:c r="T388" s="18" t="n">
        <x:v>49.22472222222222</x:v>
      </x:c>
      <x:c r="U388" t="n">
        <x:v>38</x:v>
      </x:c>
      <x:c r="V388" t="n">
        <x:v>32</x:v>
      </x:c>
      <x:c r="W388" t="n">
        <x:v>1</x:v>
      </x:c>
      <x:c r="X388" s="18" t="n">
        <x:v>24</x:v>
      </x:c>
      <x:c r="Y388" s="18" t="n">
        <x:v>5</x:v>
      </x:c>
      <x:c r="Z388" s="18" t="n">
        <x:v>4</x:v>
      </x:c>
      <x:c r="AA388" t="n">
        <x:v>0</x:v>
      </x:c>
    </x:row>
    <x:row r="389">
      <x:c r="A389" t="str">
        <x:v>A-089363</x:v>
      </x:c>
      <x:c r="B389" t="str">
        <x:v>Company_387</x:v>
      </x:c>
      <x:c r="C389" t="str">
        <x:v>FinTech</x:v>
      </x:c>
      <x:c r="D389" t="str">
        <x:v>AU</x:v>
      </x:c>
      <x:c r="E389" s="14" t="n">
        <x:v>45052</x:v>
      </x:c>
      <x:c r="F389" t="str">
        <x:v>2023-05</x:v>
      </x:c>
      <x:c r="G389" t="str">
        <x:v>event</x:v>
      </x:c>
      <x:c r="H389" t="str">
        <x:v>Basic</x:v>
      </x:c>
      <x:c r="I389" t="n">
        <x:v>2</x:v>
      </x:c>
      <x:c r="J389" s="1" t="b">
        <x:v>0</x:v>
      </x:c>
      <x:c r="K389" t="str">
        <x:v>Active</x:v>
      </x:c>
      <x:c r="L389" t="n">
        <x:v>605</x:v>
      </x:c>
      <x:c r="M389" t="str"/>
      <x:c r="N389" t="n">
        <x:v>1</x:v>
      </x:c>
      <x:c r="O389" t="n">
        <x:v>14</x:v>
      </x:c>
      <x:c r="P389" s="16" t="n">
        <x:v>7373</x:v>
      </x:c>
      <x:c r="Q389" t="n">
        <x:v>2</x:v>
      </x:c>
      <x:c r="R389" t="n">
        <x:v>0</x:v>
      </x:c>
      <x:c r="S389" t="n">
        <x:v>628</x:v>
      </x:c>
      <x:c r="T389" s="18" t="n">
        <x:v>54.58083333333333</x:v>
      </x:c>
      <x:c r="U389" t="n">
        <x:v>33</x:v>
      </x:c>
      <x:c r="V389" t="n">
        <x:v>30</x:v>
      </x:c>
      <x:c r="W389" t="n">
        <x:v>3</x:v>
      </x:c>
      <x:c r="X389" s="18" t="n">
        <x:v>35</x:v>
      </x:c>
      <x:c r="Y389" s="18" t="n">
        <x:v>91.33333333333333</x:v>
      </x:c>
      <x:c r="Z389" s="18" t="n">
        <x:v>3.6666666666666665</x:v>
      </x:c>
      <x:c r="AA389" t="n">
        <x:v>0</x:v>
      </x:c>
    </x:row>
    <x:row r="390">
      <x:c r="A390" t="str">
        <x:v>A-524364</x:v>
      </x:c>
      <x:c r="B390" t="str">
        <x:v>Company_388</x:v>
      </x:c>
      <x:c r="C390" t="str">
        <x:v>DevTools</x:v>
      </x:c>
      <x:c r="D390" t="str">
        <x:v>FR</x:v>
      </x:c>
      <x:c r="E390" s="14" t="n">
        <x:v>45657</x:v>
      </x:c>
      <x:c r="F390" t="str">
        <x:v>2024-12</x:v>
      </x:c>
      <x:c r="G390" t="str">
        <x:v>partner</x:v>
      </x:c>
      <x:c r="H390" t="str">
        <x:v>Enterprise</x:v>
      </x:c>
      <x:c r="I390" t="n">
        <x:v>3</x:v>
      </x:c>
      <x:c r="J390" s="1" t="b">
        <x:v>0</x:v>
      </x:c>
      <x:c r="K390" t="str">
        <x:v>Active</x:v>
      </x:c>
      <x:c r="L390" t="n">
        <x:v>0</x:v>
      </x:c>
      <x:c r="M390" t="str"/>
      <x:c r="N390" t="n">
        <x:v>0</x:v>
      </x:c>
      <x:c r="O390" t="n">
        <x:v>6</x:v>
      </x:c>
      <x:c r="P390" s="16" t="n">
        <x:v>9552</x:v>
      </x:c>
      <x:c r="Q390" t="n">
        <x:v>0</x:v>
      </x:c>
      <x:c r="R390" t="n">
        <x:v>0</x:v>
      </x:c>
      <x:c r="S390" t="n">
        <x:v>237</x:v>
      </x:c>
      <x:c r="T390" s="18" t="n">
        <x:v>20.158055555555556</x:v>
      </x:c>
      <x:c r="U390" t="n">
        <x:v>24</x:v>
      </x:c>
      <x:c r="V390" t="n">
        <x:v>18</x:v>
      </x:c>
      <x:c r="W390" t="n">
        <x:v>3</x:v>
      </x:c>
      <x:c r="X390" s="18" t="n">
        <x:v>47.666666666666664</x:v>
      </x:c>
      <x:c r="Y390" s="18" t="n">
        <x:v>75.33333333333333</x:v>
      </x:c>
      <x:c r="Z390" s="18" t="n">
        <x:v>4.333333333333333</x:v>
      </x:c>
      <x:c r="AA390" t="n">
        <x:v>0</x:v>
      </x:c>
    </x:row>
    <x:row r="391">
      <x:c r="A391" t="str">
        <x:v>A-855a48</x:v>
      </x:c>
      <x:c r="B391" t="str">
        <x:v>Company_389</x:v>
      </x:c>
      <x:c r="C391" t="str">
        <x:v>EdTech</x:v>
      </x:c>
      <x:c r="D391" t="str">
        <x:v>US</x:v>
      </x:c>
      <x:c r="E391" s="14" t="n">
        <x:v>45282</x:v>
      </x:c>
      <x:c r="F391" t="str">
        <x:v>2023-12</x:v>
      </x:c>
      <x:c r="G391" t="str">
        <x:v>partner</x:v>
      </x:c>
      <x:c r="H391" t="str">
        <x:v>Pro</x:v>
      </x:c>
      <x:c r="I391" t="n">
        <x:v>14</x:v>
      </x:c>
      <x:c r="J391" s="1" t="b">
        <x:v>1</x:v>
      </x:c>
      <x:c r="K391" t="str">
        <x:v>Active</x:v>
      </x:c>
      <x:c r="L391" t="n">
        <x:v>375</x:v>
      </x:c>
      <x:c r="M391" t="str"/>
      <x:c r="N391" t="n">
        <x:v>1</x:v>
      </x:c>
      <x:c r="O391" t="n">
        <x:v>8</x:v>
      </x:c>
      <x:c r="P391" s="16" t="n">
        <x:v>30376</x:v>
      </x:c>
      <x:c r="Q391" t="n">
        <x:v>0</x:v>
      </x:c>
      <x:c r="R391" t="n">
        <x:v>1</x:v>
      </x:c>
      <x:c r="S391" t="n">
        <x:v>448</x:v>
      </x:c>
      <x:c r="T391" s="18" t="n">
        <x:v>40.53</x:v>
      </x:c>
      <x:c r="U391" t="n">
        <x:v>16</x:v>
      </x:c>
      <x:c r="V391" t="n">
        <x:v>26</x:v>
      </x:c>
      <x:c r="W391" t="n">
        <x:v>5</x:v>
      </x:c>
      <x:c r="X391" s="18" t="n">
        <x:v>39.6</x:v>
      </x:c>
      <x:c r="Y391" s="18" t="n">
        <x:v>122</x:v>
      </x:c>
      <x:c r="Z391" s="18" t="n">
        <x:v>3.6666666666666665</x:v>
      </x:c>
      <x:c r="AA391" t="n">
        <x:v>0</x:v>
      </x:c>
    </x:row>
    <x:row r="392">
      <x:c r="A392" t="str">
        <x:v>A-756192</x:v>
      </x:c>
      <x:c r="B392" t="str">
        <x:v>Company_390</x:v>
      </x:c>
      <x:c r="C392" t="str">
        <x:v>FinTech</x:v>
      </x:c>
      <x:c r="D392" t="str">
        <x:v>IN</x:v>
      </x:c>
      <x:c r="E392" s="14" t="n">
        <x:v>45088</x:v>
      </x:c>
      <x:c r="F392" t="str">
        <x:v>2023-06</x:v>
      </x:c>
      <x:c r="G392" t="str">
        <x:v>other</x:v>
      </x:c>
      <x:c r="H392" t="str">
        <x:v>Basic</x:v>
      </x:c>
      <x:c r="I392" t="n">
        <x:v>19</x:v>
      </x:c>
      <x:c r="J392" s="1" t="b">
        <x:v>0</x:v>
      </x:c>
      <x:c r="K392" t="str">
        <x:v>Active</x:v>
      </x:c>
      <x:c r="L392" t="n">
        <x:v>569</x:v>
      </x:c>
      <x:c r="M392" t="str"/>
      <x:c r="N392" t="n">
        <x:v>0</x:v>
      </x:c>
      <x:c r="O392" t="n">
        <x:v>10</x:v>
      </x:c>
      <x:c r="P392" s="16" t="n">
        <x:v>21400</x:v>
      </x:c>
      <x:c r="Q392" t="n">
        <x:v>1</x:v>
      </x:c>
      <x:c r="R392" t="n">
        <x:v>0</x:v>
      </x:c>
      <x:c r="S392" t="n">
        <x:v>617</x:v>
      </x:c>
      <x:c r="T392" s="18" t="n">
        <x:v>50.99583333333333</x:v>
      </x:c>
      <x:c r="U392" t="n">
        <x:v>43</x:v>
      </x:c>
      <x:c r="V392" t="n">
        <x:v>32</x:v>
      </x:c>
      <x:c r="W392" t="n">
        <x:v>3</x:v>
      </x:c>
      <x:c r="X392" s="18" t="n">
        <x:v>37.333333333333336</x:v>
      </x:c>
      <x:c r="Y392" s="18" t="n">
        <x:v>102.33333333333333</x:v>
      </x:c>
      <x:c r="Z392" s="18" t="n">
        <x:v>4</x:v>
      </x:c>
      <x:c r="AA392" t="n">
        <x:v>0</x:v>
      </x:c>
    </x:row>
    <x:row r="393">
      <x:c r="A393" t="str">
        <x:v>A-49b828</x:v>
      </x:c>
      <x:c r="B393" t="str">
        <x:v>Company_391</x:v>
      </x:c>
      <x:c r="C393" t="str">
        <x:v>FinTech</x:v>
      </x:c>
      <x:c r="D393" t="str">
        <x:v>IN</x:v>
      </x:c>
      <x:c r="E393" s="14" t="n">
        <x:v>45051</x:v>
      </x:c>
      <x:c r="F393" t="str">
        <x:v>2023-05</x:v>
      </x:c>
      <x:c r="G393" t="str">
        <x:v>ads</x:v>
      </x:c>
      <x:c r="H393" t="str">
        <x:v>Pro</x:v>
      </x:c>
      <x:c r="I393" t="n">
        <x:v>6</x:v>
      </x:c>
      <x:c r="J393" s="1" t="b">
        <x:v>0</x:v>
      </x:c>
      <x:c r="K393" t="str">
        <x:v>Active</x:v>
      </x:c>
      <x:c r="L393" t="n">
        <x:v>606</x:v>
      </x:c>
      <x:c r="M393" t="str"/>
      <x:c r="N393" t="n">
        <x:v>0</x:v>
      </x:c>
      <x:c r="O393" t="n">
        <x:v>14</x:v>
      </x:c>
      <x:c r="P393" s="16" t="n">
        <x:v>31108</x:v>
      </x:c>
      <x:c r="Q393" t="n">
        <x:v>2</x:v>
      </x:c>
      <x:c r="R393" t="n">
        <x:v>0</x:v>
      </x:c>
      <x:c r="S393" t="n">
        <x:v>687</x:v>
      </x:c>
      <x:c r="T393" s="18" t="n">
        <x:v>51.99527777777778</x:v>
      </x:c>
      <x:c r="U393" t="n">
        <x:v>45</x:v>
      </x:c>
      <x:c r="V393" t="n">
        <x:v>29</x:v>
      </x:c>
      <x:c r="W393" t="n">
        <x:v>3</x:v>
      </x:c>
      <x:c r="X393" s="18" t="n">
        <x:v>13.666666666666666</x:v>
      </x:c>
      <x:c r="Y393" s="18" t="n">
        <x:v>87.66666666666667</x:v>
      </x:c>
      <x:c r="Z393" s="18" t="n">
        <x:v>3.5</x:v>
      </x:c>
      <x:c r="AA393" t="n">
        <x:v>1</x:v>
      </x:c>
    </x:row>
    <x:row r="394">
      <x:c r="A394" t="str">
        <x:v>A-c7ffc2</x:v>
      </x:c>
      <x:c r="B394" t="str">
        <x:v>Company_392</x:v>
      </x:c>
      <x:c r="C394" t="str">
        <x:v>Cybersecurity</x:v>
      </x:c>
      <x:c r="D394" t="str">
        <x:v>US</x:v>
      </x:c>
      <x:c r="E394" s="14" t="n">
        <x:v>44953</x:v>
      </x:c>
      <x:c r="F394" t="str">
        <x:v>2023-01</x:v>
      </x:c>
      <x:c r="G394" t="str">
        <x:v>partner</x:v>
      </x:c>
      <x:c r="H394" t="str">
        <x:v>Pro</x:v>
      </x:c>
      <x:c r="I394" t="n">
        <x:v>30</x:v>
      </x:c>
      <x:c r="J394" s="1" t="b">
        <x:v>1</x:v>
      </x:c>
      <x:c r="K394" t="str">
        <x:v>Active</x:v>
      </x:c>
      <x:c r="L394" t="n">
        <x:v>704</x:v>
      </x:c>
      <x:c r="M394" t="str"/>
      <x:c r="N394" t="n">
        <x:v>2</x:v>
      </x:c>
      <x:c r="O394" t="n">
        <x:v>12</x:v>
      </x:c>
      <x:c r="P394" s="16" t="n">
        <x:v>36112</x:v>
      </x:c>
      <x:c r="Q394" t="n">
        <x:v>3</x:v>
      </x:c>
      <x:c r="R394" t="n">
        <x:v>0</x:v>
      </x:c>
      <x:c r="S394" t="n">
        <x:v>640</x:v>
      </x:c>
      <x:c r="T394" s="18" t="n">
        <x:v>55.82138888888889</x:v>
      </x:c>
      <x:c r="U394" t="n">
        <x:v>28</x:v>
      </x:c>
      <x:c r="V394" t="n">
        <x:v>30</x:v>
      </x:c>
      <x:c r="W394" t="n">
        <x:v>2</x:v>
      </x:c>
      <x:c r="X394" s="18" t="n">
        <x:v>64</x:v>
      </x:c>
      <x:c r="Y394" s="18" t="n">
        <x:v>86</x:v>
      </x:c>
      <x:c r="Z394" s="18" t="n">
        <x:v>3</x:v>
      </x:c>
      <x:c r="AA394" t="n">
        <x:v>0</x:v>
      </x:c>
    </x:row>
    <x:row r="395">
      <x:c r="A395" t="str">
        <x:v>A-751c58</x:v>
      </x:c>
      <x:c r="B395" t="str">
        <x:v>Company_393</x:v>
      </x:c>
      <x:c r="C395" t="str">
        <x:v>FinTech</x:v>
      </x:c>
      <x:c r="D395" t="str">
        <x:v>UK</x:v>
      </x:c>
      <x:c r="E395" s="14" t="n">
        <x:v>45491</x:v>
      </x:c>
      <x:c r="F395" t="str">
        <x:v>2024-07</x:v>
      </x:c>
      <x:c r="G395" t="str">
        <x:v>organic</x:v>
      </x:c>
      <x:c r="H395" t="str">
        <x:v>Basic</x:v>
      </x:c>
      <x:c r="I395" t="n">
        <x:v>15</x:v>
      </x:c>
      <x:c r="J395" s="1" t="b">
        <x:v>0</x:v>
      </x:c>
      <x:c r="K395" t="str">
        <x:v>Active</x:v>
      </x:c>
      <x:c r="L395" t="n">
        <x:v>166</x:v>
      </x:c>
      <x:c r="M395" t="str"/>
      <x:c r="N395" t="n">
        <x:v>3</x:v>
      </x:c>
      <x:c r="O395" t="n">
        <x:v>11</x:v>
      </x:c>
      <x:c r="P395" s="16" t="n">
        <x:v>19597</x:v>
      </x:c>
      <x:c r="Q395" t="n">
        <x:v>4</x:v>
      </x:c>
      <x:c r="R395" t="n">
        <x:v>0</x:v>
      </x:c>
      <x:c r="S395" t="n">
        <x:v>574</x:v>
      </x:c>
      <x:c r="T395" s="18" t="n">
        <x:v>49.834722222222226</x:v>
      </x:c>
      <x:c r="U395" t="n">
        <x:v>12</x:v>
      </x:c>
      <x:c r="V395" t="n">
        <x:v>31</x:v>
      </x:c>
      <x:c r="W395" t="n">
        <x:v>5</x:v>
      </x:c>
      <x:c r="X395" s="18" t="n">
        <x:v>39.6</x:v>
      </x:c>
      <x:c r="Y395" s="18" t="n">
        <x:v>130</x:v>
      </x:c>
      <x:c r="Z395" s="18" t="n">
        <x:v>4.333333333333333</x:v>
      </x:c>
      <x:c r="AA395" t="n">
        <x:v>0</x:v>
      </x:c>
    </x:row>
    <x:row r="396">
      <x:c r="A396" t="str">
        <x:v>A-72799b</x:v>
      </x:c>
      <x:c r="B396" t="str">
        <x:v>Company_394</x:v>
      </x:c>
      <x:c r="C396" t="str">
        <x:v>DevTools</x:v>
      </x:c>
      <x:c r="D396" t="str">
        <x:v>FR</x:v>
      </x:c>
      <x:c r="E396" s="14" t="n">
        <x:v>45243</x:v>
      </x:c>
      <x:c r="F396" t="str">
        <x:v>2023-11</x:v>
      </x:c>
      <x:c r="G396" t="str">
        <x:v>event</x:v>
      </x:c>
      <x:c r="H396" t="str">
        <x:v>Enterprise</x:v>
      </x:c>
      <x:c r="I396" t="n">
        <x:v>20</x:v>
      </x:c>
      <x:c r="J396" s="1" t="b">
        <x:v>0</x:v>
      </x:c>
      <x:c r="K396" t="str">
        <x:v>Churned</x:v>
      </x:c>
      <x:c r="L396" t="n">
        <x:v>174</x:v>
      </x:c>
      <x:c r="M396" t="str">
        <x:v>pricing</x:v>
      </x:c>
      <x:c r="N396" t="n">
        <x:v>1</x:v>
      </x:c>
      <x:c r="O396" t="n">
        <x:v>10</x:v>
      </x:c>
      <x:c r="P396" s="16" t="n">
        <x:v>16935</x:v>
      </x:c>
      <x:c r="Q396" t="n">
        <x:v>2</x:v>
      </x:c>
      <x:c r="R396" t="n">
        <x:v>1</x:v>
      </x:c>
      <x:c r="S396" t="n">
        <x:v>550</x:v>
      </x:c>
      <x:c r="T396" s="18" t="n">
        <x:v>43.055</x:v>
      </x:c>
      <x:c r="U396" t="n">
        <x:v>34</x:v>
      </x:c>
      <x:c r="V396" t="n">
        <x:v>31</x:v>
      </x:c>
      <x:c r="W396" t="n">
        <x:v>2</x:v>
      </x:c>
      <x:c r="X396" s="18" t="n">
        <x:v>33.5</x:v>
      </x:c>
      <x:c r="Y396" s="18" t="n">
        <x:v>80</x:v>
      </x:c>
      <x:c r="Z396" s="18" t="n">
        <x:v>4.5</x:v>
      </x:c>
      <x:c r="AA396" t="n">
        <x:v>1</x:v>
      </x:c>
    </x:row>
    <x:row r="397">
      <x:c r="A397" t="str">
        <x:v>A-812c5b</x:v>
      </x:c>
      <x:c r="B397" t="str">
        <x:v>Company_395</x:v>
      </x:c>
      <x:c r="C397" t="str">
        <x:v>DevTools</x:v>
      </x:c>
      <x:c r="D397" t="str">
        <x:v>CA</x:v>
      </x:c>
      <x:c r="E397" s="14" t="n">
        <x:v>45347</x:v>
      </x:c>
      <x:c r="F397" t="str">
        <x:v>2024-02</x:v>
      </x:c>
      <x:c r="G397" t="str">
        <x:v>organic</x:v>
      </x:c>
      <x:c r="H397" t="str">
        <x:v>Basic</x:v>
      </x:c>
      <x:c r="I397" t="n">
        <x:v>55</x:v>
      </x:c>
      <x:c r="J397" s="1" t="b">
        <x:v>0</x:v>
      </x:c>
      <x:c r="K397" t="str">
        <x:v>Churned</x:v>
      </x:c>
      <x:c r="L397" t="n">
        <x:v>76</x:v>
      </x:c>
      <x:c r="M397" t="str">
        <x:v>support</x:v>
      </x:c>
      <x:c r="N397" t="n">
        <x:v>1</x:v>
      </x:c>
      <x:c r="O397" t="n">
        <x:v>13</x:v>
      </x:c>
      <x:c r="P397" s="16" t="n">
        <x:v>29884</x:v>
      </x:c>
      <x:c r="Q397" t="n">
        <x:v>0</x:v>
      </x:c>
      <x:c r="R397" t="n">
        <x:v>0</x:v>
      </x:c>
      <x:c r="S397" t="n">
        <x:v>866</x:v>
      </x:c>
      <x:c r="T397" s="18" t="n">
        <x:v>74.8875</x:v>
      </x:c>
      <x:c r="U397" t="n">
        <x:v>46</x:v>
      </x:c>
      <x:c r="V397" t="n">
        <x:v>33</x:v>
      </x:c>
      <x:c r="W397" t="n">
        <x:v>4</x:v>
      </x:c>
      <x:c r="X397" s="18" t="n">
        <x:v>27</x:v>
      </x:c>
      <x:c r="Y397" s="18" t="n">
        <x:v>88.25</x:v>
      </x:c>
      <x:c r="Z397" s="18" t="n">
        <x:v>4</x:v>
      </x:c>
      <x:c r="AA397" t="n">
        <x:v>0</x:v>
      </x:c>
    </x:row>
    <x:row r="398">
      <x:c r="A398" t="str">
        <x:v>A-69b156</x:v>
      </x:c>
      <x:c r="B398" t="str">
        <x:v>Company_396</x:v>
      </x:c>
      <x:c r="C398" t="str">
        <x:v>EdTech</x:v>
      </x:c>
      <x:c r="D398" t="str">
        <x:v>US</x:v>
      </x:c>
      <x:c r="E398" s="14" t="n">
        <x:v>45251</x:v>
      </x:c>
      <x:c r="F398" t="str">
        <x:v>2023-11</x:v>
      </x:c>
      <x:c r="G398" t="str">
        <x:v>other</x:v>
      </x:c>
      <x:c r="H398" t="str">
        <x:v>Pro</x:v>
      </x:c>
      <x:c r="I398" t="n">
        <x:v>7</x:v>
      </x:c>
      <x:c r="J398" s="1" t="b">
        <x:v>0</x:v>
      </x:c>
      <x:c r="K398" t="str">
        <x:v>Churned</x:v>
      </x:c>
      <x:c r="L398" t="n">
        <x:v>406</x:v>
      </x:c>
      <x:c r="M398" t="str"/>
      <x:c r="N398" t="n">
        <x:v>0</x:v>
      </x:c>
      <x:c r="O398" t="n">
        <x:v>9</x:v>
      </x:c>
      <x:c r="P398" s="16" t="n">
        <x:v>13798</x:v>
      </x:c>
      <x:c r="Q398" t="n">
        <x:v>0</x:v>
      </x:c>
      <x:c r="R398" t="n">
        <x:v>2</x:v>
      </x:c>
      <x:c r="S398" t="n">
        <x:v>360</x:v>
      </x:c>
      <x:c r="T398" s="18" t="n">
        <x:v>28.4675</x:v>
      </x:c>
      <x:c r="U398" t="n">
        <x:v>20</x:v>
      </x:c>
      <x:c r="V398" t="n">
        <x:v>24</x:v>
      </x:c>
      <x:c r="W398" t="n">
        <x:v>7</x:v>
      </x:c>
      <x:c r="X398" s="18" t="n">
        <x:v>32</x:v>
      </x:c>
      <x:c r="Y398" s="18" t="n">
        <x:v>100.57142857142857</x:v>
      </x:c>
      <x:c r="Z398" s="18" t="n">
        <x:v>4</x:v>
      </x:c>
      <x:c r="AA398" t="n">
        <x:v>0</x:v>
      </x:c>
    </x:row>
    <x:row r="399">
      <x:c r="A399" t="str">
        <x:v>A-075038</x:v>
      </x:c>
      <x:c r="B399" t="str">
        <x:v>Company_397</x:v>
      </x:c>
      <x:c r="C399" t="str">
        <x:v>HealthTech</x:v>
      </x:c>
      <x:c r="D399" t="str">
        <x:v>UK</x:v>
      </x:c>
      <x:c r="E399" s="14" t="n">
        <x:v>45058</x:v>
      </x:c>
      <x:c r="F399" t="str">
        <x:v>2023-05</x:v>
      </x:c>
      <x:c r="G399" t="str">
        <x:v>ads</x:v>
      </x:c>
      <x:c r="H399" t="str">
        <x:v>Basic</x:v>
      </x:c>
      <x:c r="I399" t="n">
        <x:v>17</x:v>
      </x:c>
      <x:c r="J399" s="1" t="b">
        <x:v>0</x:v>
      </x:c>
      <x:c r="K399" t="str">
        <x:v>Active</x:v>
      </x:c>
      <x:c r="L399" t="n">
        <x:v>599</x:v>
      </x:c>
      <x:c r="M399" t="str"/>
      <x:c r="N399" t="n">
        <x:v>1</x:v>
      </x:c>
      <x:c r="O399" t="n">
        <x:v>14</x:v>
      </x:c>
      <x:c r="P399" s="16" t="n">
        <x:v>18909</x:v>
      </x:c>
      <x:c r="Q399" t="n">
        <x:v>1</x:v>
      </x:c>
      <x:c r="R399" t="n">
        <x:v>0</x:v>
      </x:c>
      <x:c r="S399" t="n">
        <x:v>743</x:v>
      </x:c>
      <x:c r="T399" s="18" t="n">
        <x:v>55.202222222222225</x:v>
      </x:c>
      <x:c r="U399" t="n">
        <x:v>31</x:v>
      </x:c>
      <x:c r="V399" t="n">
        <x:v>32</x:v>
      </x:c>
      <x:c r="W399" t="n">
        <x:v>2</x:v>
      </x:c>
      <x:c r="X399" s="18" t="n">
        <x:v>43.5</x:v>
      </x:c>
      <x:c r="Y399" s="18" t="n">
        <x:v>54</x:v>
      </x:c>
      <x:c r="Z399" s="18" t="n">
        <x:v>3</x:v>
      </x:c>
      <x:c r="AA399" t="n">
        <x:v>0</x:v>
      </x:c>
    </x:row>
    <x:row r="400">
      <x:c r="A400" t="str">
        <x:v>A-940b8b</x:v>
      </x:c>
      <x:c r="B400" t="str">
        <x:v>Company_398</x:v>
      </x:c>
      <x:c r="C400" t="str">
        <x:v>HealthTech</x:v>
      </x:c>
      <x:c r="D400" t="str">
        <x:v>DE</x:v>
      </x:c>
      <x:c r="E400" s="14" t="n">
        <x:v>45370</x:v>
      </x:c>
      <x:c r="F400" t="str">
        <x:v>2024-03</x:v>
      </x:c>
      <x:c r="G400" t="str">
        <x:v>organic</x:v>
      </x:c>
      <x:c r="H400" t="str">
        <x:v>Basic</x:v>
      </x:c>
      <x:c r="I400" t="n">
        <x:v>1</x:v>
      </x:c>
      <x:c r="J400" s="1" t="b">
        <x:v>0</x:v>
      </x:c>
      <x:c r="K400" t="str">
        <x:v>Active</x:v>
      </x:c>
      <x:c r="L400" t="n">
        <x:v>287</x:v>
      </x:c>
      <x:c r="M400" t="str"/>
      <x:c r="N400" t="n">
        <x:v>0</x:v>
      </x:c>
      <x:c r="O400" t="n">
        <x:v>8</x:v>
      </x:c>
      <x:c r="P400" s="16" t="n">
        <x:v>9640</x:v>
      </x:c>
      <x:c r="Q400" t="n">
        <x:v>1</x:v>
      </x:c>
      <x:c r="R400" t="n">
        <x:v>1</x:v>
      </x:c>
      <x:c r="S400" t="n">
        <x:v>362</x:v>
      </x:c>
      <x:c r="T400" s="18" t="n">
        <x:v>33.66222222222222</x:v>
      </x:c>
      <x:c r="U400" t="n">
        <x:v>32</x:v>
      </x:c>
      <x:c r="V400" t="n">
        <x:v>23</x:v>
      </x:c>
      <x:c r="W400" t="n">
        <x:v>3</x:v>
      </x:c>
      <x:c r="X400" s="18" t="n">
        <x:v>41.333333333333336</x:v>
      </x:c>
      <x:c r="Y400" s="18" t="n">
        <x:v>89.33333333333333</x:v>
      </x:c>
      <x:c r="Z400" s="18" t="n">
        <x:v>4</x:v>
      </x:c>
      <x:c r="AA400" t="n">
        <x:v>0</x:v>
      </x:c>
    </x:row>
    <x:row r="401">
      <x:c r="A401" t="str">
        <x:v>A-2d1036</x:v>
      </x:c>
      <x:c r="B401" t="str">
        <x:v>Company_399</x:v>
      </x:c>
      <x:c r="C401" t="str">
        <x:v>FinTech</x:v>
      </x:c>
      <x:c r="D401" t="str">
        <x:v>US</x:v>
      </x:c>
      <x:c r="E401" s="14" t="n">
        <x:v>45457</x:v>
      </x:c>
      <x:c r="F401" t="str">
        <x:v>2024-06</x:v>
      </x:c>
      <x:c r="G401" t="str">
        <x:v>ads</x:v>
      </x:c>
      <x:c r="H401" t="str">
        <x:v>Pro</x:v>
      </x:c>
      <x:c r="I401" t="n">
        <x:v>69</x:v>
      </x:c>
      <x:c r="J401" s="1" t="b">
        <x:v>0</x:v>
      </x:c>
      <x:c r="K401" t="str">
        <x:v>Churned</x:v>
      </x:c>
      <x:c r="L401" t="n">
        <x:v>136</x:v>
      </x:c>
      <x:c r="M401" t="str">
        <x:v>pricing</x:v>
      </x:c>
      <x:c r="N401" t="n">
        <x:v>2</x:v>
      </x:c>
      <x:c r="O401" t="n">
        <x:v>13</x:v>
      </x:c>
      <x:c r="P401" s="16" t="n">
        <x:v>46230</x:v>
      </x:c>
      <x:c r="Q401" t="n">
        <x:v>0</x:v>
      </x:c>
      <x:c r="R401" t="n">
        <x:v>1</x:v>
      </x:c>
      <x:c r="S401" t="n">
        <x:v>692</x:v>
      </x:c>
      <x:c r="T401" s="18" t="n">
        <x:v>50.37083333333333</x:v>
      </x:c>
      <x:c r="U401" t="n">
        <x:v>40</x:v>
      </x:c>
      <x:c r="V401" t="n">
        <x:v>31</x:v>
      </x:c>
      <x:c r="W401" t="n">
        <x:v>5</x:v>
      </x:c>
      <x:c r="X401" s="18" t="n">
        <x:v>37.8</x:v>
      </x:c>
      <x:c r="Y401" s="18" t="n">
        <x:v>49</x:v>
      </x:c>
      <x:c r="Z401" s="18" t="n">
        <x:v>4.6</x:v>
      </x:c>
      <x:c r="AA401" t="n">
        <x:v>1</x:v>
      </x:c>
    </x:row>
    <x:row r="402">
      <x:c r="A402" t="str">
        <x:v>A-0f6450</x:v>
      </x:c>
      <x:c r="B402" t="str">
        <x:v>Company_400</x:v>
      </x:c>
      <x:c r="C402" t="str">
        <x:v>FinTech</x:v>
      </x:c>
      <x:c r="D402" t="str">
        <x:v>US</x:v>
      </x:c>
      <x:c r="E402" s="14" t="n">
        <x:v>45653</x:v>
      </x:c>
      <x:c r="F402" t="str">
        <x:v>2024-12</x:v>
      </x:c>
      <x:c r="G402" t="str">
        <x:v>other</x:v>
      </x:c>
      <x:c r="H402" t="str">
        <x:v>Pro</x:v>
      </x:c>
      <x:c r="I402" t="n">
        <x:v>28</x:v>
      </x:c>
      <x:c r="J402" s="1" t="b">
        <x:v>1</x:v>
      </x:c>
      <x:c r="K402" t="str">
        <x:v>Churned</x:v>
      </x:c>
      <x:c r="L402" t="n">
        <x:v>3</x:v>
      </x:c>
      <x:c r="M402" t="str">
        <x:v>competitor</x:v>
      </x:c>
      <x:c r="N402" t="n">
        <x:v>2</x:v>
      </x:c>
      <x:c r="O402" t="n">
        <x:v>11</x:v>
      </x:c>
      <x:c r="P402" s="16" t="n">
        <x:v>23800</x:v>
      </x:c>
      <x:c r="Q402" t="n">
        <x:v>0</x:v>
      </x:c>
      <x:c r="R402" t="n">
        <x:v>0</x:v>
      </x:c>
      <x:c r="S402" t="n">
        <x:v>539</x:v>
      </x:c>
      <x:c r="T402" s="18" t="n">
        <x:v>48.519444444444446</x:v>
      </x:c>
      <x:c r="U402" t="n">
        <x:v>39</x:v>
      </x:c>
      <x:c r="V402" t="n">
        <x:v>31</x:v>
      </x:c>
      <x:c r="W402" t="n">
        <x:v>8</x:v>
      </x:c>
      <x:c r="X402" s="18" t="n">
        <x:v>29.75</x:v>
      </x:c>
      <x:c r="Y402" s="18" t="n">
        <x:v>81.625</x:v>
      </x:c>
      <x:c r="Z402" s="18" t="n">
        <x:v>3.8333333333333335</x:v>
      </x:c>
      <x:c r="AA402" t="n">
        <x:v>1</x:v>
      </x:c>
    </x:row>
    <x:row r="403">
      <x:c r="A403" t="str">
        <x:v>A-9affe6</x:v>
      </x:c>
      <x:c r="B403" t="str">
        <x:v>Company_401</x:v>
      </x:c>
      <x:c r="C403" t="str">
        <x:v>Cybersecurity</x:v>
      </x:c>
      <x:c r="D403" t="str">
        <x:v>US</x:v>
      </x:c>
      <x:c r="E403" s="14" t="n">
        <x:v>45007</x:v>
      </x:c>
      <x:c r="F403" t="str">
        <x:v>2023-03</x:v>
      </x:c>
      <x:c r="G403" t="str">
        <x:v>other</x:v>
      </x:c>
      <x:c r="H403" t="str">
        <x:v>Pro</x:v>
      </x:c>
      <x:c r="I403" t="n">
        <x:v>7</x:v>
      </x:c>
      <x:c r="J403" s="1" t="b">
        <x:v>0</x:v>
      </x:c>
      <x:c r="K403" t="str">
        <x:v>Active</x:v>
      </x:c>
      <x:c r="L403" t="n">
        <x:v>650</x:v>
      </x:c>
      <x:c r="M403" t="str"/>
      <x:c r="N403" t="n">
        <x:v>1</x:v>
      </x:c>
      <x:c r="O403" t="n">
        <x:v>11</x:v>
      </x:c>
      <x:c r="P403" s="16" t="n">
        <x:v>10142</x:v>
      </x:c>
      <x:c r="Q403" t="n">
        <x:v>2</x:v>
      </x:c>
      <x:c r="R403" t="n">
        <x:v>0</x:v>
      </x:c>
      <x:c r="S403" t="n">
        <x:v>473</x:v>
      </x:c>
      <x:c r="T403" s="18" t="n">
        <x:v>40.23694444444445</x:v>
      </x:c>
      <x:c r="U403" t="n">
        <x:v>16</x:v>
      </x:c>
      <x:c r="V403" t="n">
        <x:v>26</x:v>
      </x:c>
      <x:c r="W403" t="n">
        <x:v>3</x:v>
      </x:c>
      <x:c r="X403" s="18" t="n">
        <x:v>58</x:v>
      </x:c>
      <x:c r="Y403" s="18" t="n">
        <x:v>76</x:v>
      </x:c>
      <x:c r="Z403" s="18" t="n">
        <x:v>3</x:v>
      </x:c>
      <x:c r="AA403" t="n">
        <x:v>0</x:v>
      </x:c>
    </x:row>
    <x:row r="404">
      <x:c r="A404" t="str">
        <x:v>A-80eeb6</x:v>
      </x:c>
      <x:c r="B404" t="str">
        <x:v>Company_402</x:v>
      </x:c>
      <x:c r="C404" t="str">
        <x:v>Cybersecurity</x:v>
      </x:c>
      <x:c r="D404" t="str">
        <x:v>UK</x:v>
      </x:c>
      <x:c r="E404" s="14" t="n">
        <x:v>45055</x:v>
      </x:c>
      <x:c r="F404" t="str">
        <x:v>2023-05</x:v>
      </x:c>
      <x:c r="G404" t="str">
        <x:v>organic</x:v>
      </x:c>
      <x:c r="H404" t="str">
        <x:v>Enterprise</x:v>
      </x:c>
      <x:c r="I404" t="n">
        <x:v>22</x:v>
      </x:c>
      <x:c r="J404" s="1" t="b">
        <x:v>0</x:v>
      </x:c>
      <x:c r="K404" t="str">
        <x:v>Active</x:v>
      </x:c>
      <x:c r="L404" t="n">
        <x:v>602</x:v>
      </x:c>
      <x:c r="M404" t="str"/>
      <x:c r="N404" t="n">
        <x:v>2</x:v>
      </x:c>
      <x:c r="O404" t="n">
        <x:v>16</x:v>
      </x:c>
      <x:c r="P404" s="16" t="n">
        <x:v>58291</x:v>
      </x:c>
      <x:c r="Q404" t="n">
        <x:v>4</x:v>
      </x:c>
      <x:c r="R404" t="n">
        <x:v>1</x:v>
      </x:c>
      <x:c r="S404" t="n">
        <x:v>725</x:v>
      </x:c>
      <x:c r="T404" s="18" t="n">
        <x:v>61.64</x:v>
      </x:c>
      <x:c r="U404" t="n">
        <x:v>43</x:v>
      </x:c>
      <x:c r="V404" t="n">
        <x:v>38</x:v>
      </x:c>
      <x:c r="W404" t="n">
        <x:v>4</x:v>
      </x:c>
      <x:c r="X404" s="18" t="n">
        <x:v>40.25</x:v>
      </x:c>
      <x:c r="Y404" s="18" t="n">
        <x:v>68.25</x:v>
      </x:c>
      <x:c r="Z404" s="18" t="n">
        <x:v>3.6666666666666665</x:v>
      </x:c>
      <x:c r="AA404" t="n">
        <x:v>1</x:v>
      </x:c>
    </x:row>
    <x:row r="405">
      <x:c r="A405" t="str">
        <x:v>A-d4e0d4</x:v>
      </x:c>
      <x:c r="B405" t="str">
        <x:v>Company_403</x:v>
      </x:c>
      <x:c r="C405" t="str">
        <x:v>FinTech</x:v>
      </x:c>
      <x:c r="D405" t="str">
        <x:v>US</x:v>
      </x:c>
      <x:c r="E405" s="14" t="n">
        <x:v>45583</x:v>
      </x:c>
      <x:c r="F405" t="str">
        <x:v>2024-10</x:v>
      </x:c>
      <x:c r="G405" t="str">
        <x:v>other</x:v>
      </x:c>
      <x:c r="H405" t="str">
        <x:v>Basic</x:v>
      </x:c>
      <x:c r="I405" t="n">
        <x:v>117</x:v>
      </x:c>
      <x:c r="J405" s="1" t="b">
        <x:v>0</x:v>
      </x:c>
      <x:c r="K405" t="str">
        <x:v>Active</x:v>
      </x:c>
      <x:c r="L405" t="n">
        <x:v>74</x:v>
      </x:c>
      <x:c r="M405" t="str"/>
      <x:c r="N405" t="n">
        <x:v>0</x:v>
      </x:c>
      <x:c r="O405" t="n">
        <x:v>10</x:v>
      </x:c>
      <x:c r="P405" s="16" t="n">
        <x:v>114777</x:v>
      </x:c>
      <x:c r="Q405" t="n">
        <x:v>1</x:v>
      </x:c>
      <x:c r="R405" t="n">
        <x:v>1</x:v>
      </x:c>
      <x:c r="S405" t="n">
        <x:v>488</x:v>
      </x:c>
      <x:c r="T405" s="18" t="n">
        <x:v>40.214166666666664</x:v>
      </x:c>
      <x:c r="U405" t="n">
        <x:v>33</x:v>
      </x:c>
      <x:c r="V405" t="n">
        <x:v>30</x:v>
      </x:c>
      <x:c r="W405" t="n">
        <x:v>4</x:v>
      </x:c>
      <x:c r="X405" s="18" t="n">
        <x:v>39.25</x:v>
      </x:c>
      <x:c r="Y405" s="18" t="n">
        <x:v>76.25</x:v>
      </x:c>
      <x:c r="Z405" s="18" t="n">
        <x:v>4</x:v>
      </x:c>
      <x:c r="AA405" t="n">
        <x:v>0</x:v>
      </x:c>
    </x:row>
    <x:row r="406">
      <x:c r="A406" t="str">
        <x:v>A-c7e58b</x:v>
      </x:c>
      <x:c r="B406" t="str">
        <x:v>Company_404</x:v>
      </x:c>
      <x:c r="C406" t="str">
        <x:v>HealthTech</x:v>
      </x:c>
      <x:c r="D406" t="str">
        <x:v>IN</x:v>
      </x:c>
      <x:c r="E406" s="14" t="n">
        <x:v>45102</x:v>
      </x:c>
      <x:c r="F406" t="str">
        <x:v>2023-06</x:v>
      </x:c>
      <x:c r="G406" t="str">
        <x:v>other</x:v>
      </x:c>
      <x:c r="H406" t="str">
        <x:v>Pro</x:v>
      </x:c>
      <x:c r="I406" t="n">
        <x:v>3</x:v>
      </x:c>
      <x:c r="J406" s="1" t="b">
        <x:v>0</x:v>
      </x:c>
      <x:c r="K406" t="str">
        <x:v>Active</x:v>
      </x:c>
      <x:c r="L406" t="n">
        <x:v>555</x:v>
      </x:c>
      <x:c r="M406" t="str"/>
      <x:c r="N406" t="n">
        <x:v>0</x:v>
      </x:c>
      <x:c r="O406" t="n">
        <x:v>7</x:v>
      </x:c>
      <x:c r="P406" s="16" t="n">
        <x:v>5384</x:v>
      </x:c>
      <x:c r="Q406" t="n">
        <x:v>0</x:v>
      </x:c>
      <x:c r="R406" t="n">
        <x:v>0</x:v>
      </x:c>
      <x:c r="S406" t="n">
        <x:v>343</x:v>
      </x:c>
      <x:c r="T406" s="18" t="n">
        <x:v>29.40361111111111</x:v>
      </x:c>
      <x:c r="U406" t="n">
        <x:v>18</x:v>
      </x:c>
      <x:c r="V406" t="n">
        <x:v>22</x:v>
      </x:c>
      <x:c r="W406" t="n">
        <x:v>5</x:v>
      </x:c>
      <x:c r="X406" s="18" t="n">
        <x:v>30.6</x:v>
      </x:c>
      <x:c r="Y406" s="18" t="n">
        <x:v>98.4</x:v>
      </x:c>
      <x:c r="Z406" s="18" t="n">
        <x:v>3.5</x:v>
      </x:c>
      <x:c r="AA406" t="n">
        <x:v>0</x:v>
      </x:c>
    </x:row>
    <x:row r="407">
      <x:c r="A407" t="str">
        <x:v>A-016043</x:v>
      </x:c>
      <x:c r="B407" t="str">
        <x:v>Company_405</x:v>
      </x:c>
      <x:c r="C407" t="str">
        <x:v>EdTech</x:v>
      </x:c>
      <x:c r="D407" t="str">
        <x:v>CA</x:v>
      </x:c>
      <x:c r="E407" s="14" t="n">
        <x:v>45504</x:v>
      </x:c>
      <x:c r="F407" t="str">
        <x:v>2024-07</x:v>
      </x:c>
      <x:c r="G407" t="str">
        <x:v>organic</x:v>
      </x:c>
      <x:c r="H407" t="str">
        <x:v>Basic</x:v>
      </x:c>
      <x:c r="I407" t="n">
        <x:v>4</x:v>
      </x:c>
      <x:c r="J407" s="1" t="b">
        <x:v>1</x:v>
      </x:c>
      <x:c r="K407" t="str">
        <x:v>Active</x:v>
      </x:c>
      <x:c r="L407" t="n">
        <x:v>153</x:v>
      </x:c>
      <x:c r="M407" t="str"/>
      <x:c r="N407" t="n">
        <x:v>1</x:v>
      </x:c>
      <x:c r="O407" t="n">
        <x:v>11</x:v>
      </x:c>
      <x:c r="P407" s="16" t="n">
        <x:v>11740</x:v>
      </x:c>
      <x:c r="Q407" t="n">
        <x:v>3</x:v>
      </x:c>
      <x:c r="R407" t="n">
        <x:v>0</x:v>
      </x:c>
      <x:c r="S407" t="n">
        <x:v>490</x:v>
      </x:c>
      <x:c r="T407" s="18" t="n">
        <x:v>36.6875</x:v>
      </x:c>
      <x:c r="U407" t="n">
        <x:v>21</x:v>
      </x:c>
      <x:c r="V407" t="n">
        <x:v>26</x:v>
      </x:c>
      <x:c r="W407" t="n">
        <x:v>3</x:v>
      </x:c>
      <x:c r="X407" s="18" t="n">
        <x:v>30.333333333333332</x:v>
      </x:c>
      <x:c r="Y407" s="18" t="n">
        <x:v>78</x:v>
      </x:c>
      <x:c r="Z407" s="18" t="n">
        <x:v>4</x:v>
      </x:c>
      <x:c r="AA407" t="n">
        <x:v>0</x:v>
      </x:c>
    </x:row>
    <x:row r="408">
      <x:c r="A408" t="str">
        <x:v>A-bbe56f</x:v>
      </x:c>
      <x:c r="B408" t="str">
        <x:v>Company_406</x:v>
      </x:c>
      <x:c r="C408" t="str">
        <x:v>HealthTech</x:v>
      </x:c>
      <x:c r="D408" t="str">
        <x:v>US</x:v>
      </x:c>
      <x:c r="E408" s="14" t="n">
        <x:v>44973</x:v>
      </x:c>
      <x:c r="F408" t="str">
        <x:v>2023-02</x:v>
      </x:c>
      <x:c r="G408" t="str">
        <x:v>ads</x:v>
      </x:c>
      <x:c r="H408" t="str">
        <x:v>Enterprise</x:v>
      </x:c>
      <x:c r="I408" t="n">
        <x:v>21</x:v>
      </x:c>
      <x:c r="J408" s="1" t="b">
        <x:v>0</x:v>
      </x:c>
      <x:c r="K408" t="str">
        <x:v>Active</x:v>
      </x:c>
      <x:c r="L408" t="n">
        <x:v>684</x:v>
      </x:c>
      <x:c r="M408" t="str"/>
      <x:c r="N408" t="n">
        <x:v>0</x:v>
      </x:c>
      <x:c r="O408" t="n">
        <x:v>5</x:v>
      </x:c>
      <x:c r="P408" s="16" t="n">
        <x:v>6025</x:v>
      </x:c>
      <x:c r="Q408" t="n">
        <x:v>1</x:v>
      </x:c>
      <x:c r="R408" t="n">
        <x:v>0</x:v>
      </x:c>
      <x:c r="S408" t="n">
        <x:v>232</x:v>
      </x:c>
      <x:c r="T408" s="18" t="n">
        <x:v>16.834444444444443</x:v>
      </x:c>
      <x:c r="U408" t="n">
        <x:v>8</x:v>
      </x:c>
      <x:c r="V408" t="n">
        <x:v>13</x:v>
      </x:c>
      <x:c r="W408" t="n">
        <x:v>4</x:v>
      </x:c>
      <x:c r="X408" s="18" t="n">
        <x:v>26.25</x:v>
      </x:c>
      <x:c r="Y408" s="18" t="n">
        <x:v>120.5</x:v>
      </x:c>
      <x:c r="Z408" s="18" t="n">
        <x:v>4</x:v>
      </x:c>
      <x:c r="AA408" t="n">
        <x:v>0</x:v>
      </x:c>
    </x:row>
    <x:row r="409">
      <x:c r="A409" t="str">
        <x:v>A-7c5768</x:v>
      </x:c>
      <x:c r="B409" t="str">
        <x:v>Company_407</x:v>
      </x:c>
      <x:c r="C409" t="str">
        <x:v>HealthTech</x:v>
      </x:c>
      <x:c r="D409" t="str">
        <x:v>UK</x:v>
      </x:c>
      <x:c r="E409" s="14" t="n">
        <x:v>45353</x:v>
      </x:c>
      <x:c r="F409" t="str">
        <x:v>2024-03</x:v>
      </x:c>
      <x:c r="G409" t="str">
        <x:v>event</x:v>
      </x:c>
      <x:c r="H409" t="str">
        <x:v>Enterprise</x:v>
      </x:c>
      <x:c r="I409" t="n">
        <x:v>3</x:v>
      </x:c>
      <x:c r="J409" s="1" t="b">
        <x:v>0</x:v>
      </x:c>
      <x:c r="K409" t="str">
        <x:v>Active</x:v>
      </x:c>
      <x:c r="L409" t="n">
        <x:v>304</x:v>
      </x:c>
      <x:c r="M409" t="str"/>
      <x:c r="N409" t="n">
        <x:v>0</x:v>
      </x:c>
      <x:c r="O409" t="n">
        <x:v>9</x:v>
      </x:c>
      <x:c r="P409" s="16" t="n">
        <x:v>3389</x:v>
      </x:c>
      <x:c r="Q409" t="n">
        <x:v>0</x:v>
      </x:c>
      <x:c r="R409" t="n">
        <x:v>0</x:v>
      </x:c>
      <x:c r="S409" t="n">
        <x:v>461</x:v>
      </x:c>
      <x:c r="T409" s="18" t="n">
        <x:v>39.52111111111111</x:v>
      </x:c>
      <x:c r="U409" t="n">
        <x:v>31</x:v>
      </x:c>
      <x:c r="V409" t="n">
        <x:v>27</x:v>
      </x:c>
      <x:c r="W409" t="n">
        <x:v>5</x:v>
      </x:c>
      <x:c r="X409" s="18" t="n">
        <x:v>28.8</x:v>
      </x:c>
      <x:c r="Y409" s="18" t="n">
        <x:v>96.4</x:v>
      </x:c>
      <x:c r="Z409" s="18" t="n">
        <x:v>4</x:v>
      </x:c>
      <x:c r="AA409" t="n">
        <x:v>0</x:v>
      </x:c>
    </x:row>
    <x:row r="410">
      <x:c r="A410" t="str">
        <x:v>A-751bd4</x:v>
      </x:c>
      <x:c r="B410" t="str">
        <x:v>Company_408</x:v>
      </x:c>
      <x:c r="C410" t="str">
        <x:v>Cybersecurity</x:v>
      </x:c>
      <x:c r="D410" t="str">
        <x:v>UK</x:v>
      </x:c>
      <x:c r="E410" s="14" t="n">
        <x:v>45485</x:v>
      </x:c>
      <x:c r="F410" t="str">
        <x:v>2024-07</x:v>
      </x:c>
      <x:c r="G410" t="str">
        <x:v>partner</x:v>
      </x:c>
      <x:c r="H410" t="str">
        <x:v>Pro</x:v>
      </x:c>
      <x:c r="I410" t="n">
        <x:v>10</x:v>
      </x:c>
      <x:c r="J410" s="1" t="b">
        <x:v>0</x:v>
      </x:c>
      <x:c r="K410" t="str">
        <x:v>Active</x:v>
      </x:c>
      <x:c r="L410" t="n">
        <x:v>172</x:v>
      </x:c>
      <x:c r="M410" t="str"/>
      <x:c r="N410" t="n">
        <x:v>1</x:v>
      </x:c>
      <x:c r="O410" t="n">
        <x:v>2</x:v>
      </x:c>
      <x:c r="P410" s="16" t="n">
        <x:v>190</x:v>
      </x:c>
      <x:c r="Q410" t="n">
        <x:v>0</x:v>
      </x:c>
      <x:c r="R410" t="n">
        <x:v>0</x:v>
      </x:c>
      <x:c r="S410" t="n">
        <x:v>92</x:v>
      </x:c>
      <x:c r="T410" s="18" t="n">
        <x:v>9.063611111111111</x:v>
      </x:c>
      <x:c r="U410" t="n">
        <x:v>0</x:v>
      </x:c>
      <x:c r="V410" t="n">
        <x:v>9</x:v>
      </x:c>
      <x:c r="W410" t="n">
        <x:v>6</x:v>
      </x:c>
      <x:c r="X410" s="18" t="n">
        <x:v>23.166666666666668</x:v>
      </x:c>
      <x:c r="Y410" s="18" t="n">
        <x:v>112</x:v>
      </x:c>
      <x:c r="Z410" s="18" t="n">
        <x:v>4.25</x:v>
      </x:c>
      <x:c r="AA410" t="n">
        <x:v>1</x:v>
      </x:c>
    </x:row>
    <x:row r="411">
      <x:c r="A411" t="str">
        <x:v>A-4e0e85</x:v>
      </x:c>
      <x:c r="B411" t="str">
        <x:v>Company_409</x:v>
      </x:c>
      <x:c r="C411" t="str">
        <x:v>DevTools</x:v>
      </x:c>
      <x:c r="D411" t="str">
        <x:v>US</x:v>
      </x:c>
      <x:c r="E411" s="14" t="n">
        <x:v>45177</x:v>
      </x:c>
      <x:c r="F411" t="str">
        <x:v>2023-09</x:v>
      </x:c>
      <x:c r="G411" t="str">
        <x:v>organic</x:v>
      </x:c>
      <x:c r="H411" t="str">
        <x:v>Enterprise</x:v>
      </x:c>
      <x:c r="I411" t="n">
        <x:v>6</x:v>
      </x:c>
      <x:c r="J411" s="1" t="b">
        <x:v>0</x:v>
      </x:c>
      <x:c r="K411" t="str">
        <x:v>Active</x:v>
      </x:c>
      <x:c r="L411" t="n">
        <x:v>480</x:v>
      </x:c>
      <x:c r="M411" t="str"/>
      <x:c r="N411" t="n">
        <x:v>2</x:v>
      </x:c>
      <x:c r="O411" t="n">
        <x:v>8</x:v>
      </x:c>
      <x:c r="P411" s="16" t="n">
        <x:v>4544</x:v>
      </x:c>
      <x:c r="Q411" t="n">
        <x:v>1</x:v>
      </x:c>
      <x:c r="R411" t="n">
        <x:v>0</x:v>
      </x:c>
      <x:c r="S411" t="n">
        <x:v>288</x:v>
      </x:c>
      <x:c r="T411" s="18" t="n">
        <x:v>22.33861111111111</x:v>
      </x:c>
      <x:c r="U411" t="n">
        <x:v>9</x:v>
      </x:c>
      <x:c r="V411" t="n">
        <x:v>20</x:v>
      </x:c>
      <x:c r="W411" t="n">
        <x:v>2</x:v>
      </x:c>
      <x:c r="X411" s="18" t="n">
        <x:v>53</x:v>
      </x:c>
      <x:c r="Y411" s="18" t="n">
        <x:v>119.5</x:v>
      </x:c>
      <x:c r="Z411" s="18" t="n">
        <x:v>5</x:v>
      </x:c>
      <x:c r="AA411" t="n">
        <x:v>0</x:v>
      </x:c>
    </x:row>
    <x:row r="412">
      <x:c r="A412" t="str">
        <x:v>A-ad3abd</x:v>
      </x:c>
      <x:c r="B412" t="str">
        <x:v>Company_410</x:v>
      </x:c>
      <x:c r="C412" t="str">
        <x:v>FinTech</x:v>
      </x:c>
      <x:c r="D412" t="str">
        <x:v>US</x:v>
      </x:c>
      <x:c r="E412" s="14" t="n">
        <x:v>44988</x:v>
      </x:c>
      <x:c r="F412" t="str">
        <x:v>2023-03</x:v>
      </x:c>
      <x:c r="G412" t="str">
        <x:v>event</x:v>
      </x:c>
      <x:c r="H412" t="str">
        <x:v>Pro</x:v>
      </x:c>
      <x:c r="I412" t="n">
        <x:v>44</x:v>
      </x:c>
      <x:c r="J412" s="1" t="b">
        <x:v>0</x:v>
      </x:c>
      <x:c r="K412" t="str">
        <x:v>Active</x:v>
      </x:c>
      <x:c r="L412" t="n">
        <x:v>669</x:v>
      </x:c>
      <x:c r="M412" t="str"/>
      <x:c r="N412" t="n">
        <x:v>1</x:v>
      </x:c>
      <x:c r="O412" t="n">
        <x:v>7</x:v>
      </x:c>
      <x:c r="P412" s="16" t="n">
        <x:v>13904</x:v>
      </x:c>
      <x:c r="Q412" t="n">
        <x:v>0</x:v>
      </x:c>
      <x:c r="R412" t="n">
        <x:v>0</x:v>
      </x:c>
      <x:c r="S412" t="n">
        <x:v>296</x:v>
      </x:c>
      <x:c r="T412" s="18" t="n">
        <x:v>26.351666666666667</x:v>
      </x:c>
      <x:c r="U412" t="n">
        <x:v>11</x:v>
      </x:c>
      <x:c r="V412" t="n">
        <x:v>20</x:v>
      </x:c>
      <x:c r="W412" t="n">
        <x:v>3</x:v>
      </x:c>
      <x:c r="X412" s="18" t="n">
        <x:v>13</x:v>
      </x:c>
      <x:c r="Y412" s="18" t="n">
        <x:v>70.33333333333333</x:v>
      </x:c>
      <x:c r="Z412" s="18" t="n">
        <x:v>3</x:v>
      </x:c>
      <x:c r="AA412" t="n">
        <x:v>0</x:v>
      </x:c>
    </x:row>
    <x:row r="413">
      <x:c r="A413" t="str">
        <x:v>A-e19ff6</x:v>
      </x:c>
      <x:c r="B413" t="str">
        <x:v>Company_411</x:v>
      </x:c>
      <x:c r="C413" t="str">
        <x:v>Cybersecurity</x:v>
      </x:c>
      <x:c r="D413" t="str">
        <x:v>UK</x:v>
      </x:c>
      <x:c r="E413" s="14" t="n">
        <x:v>45135</x:v>
      </x:c>
      <x:c r="F413" t="str">
        <x:v>2023-07</x:v>
      </x:c>
      <x:c r="G413" t="str">
        <x:v>partner</x:v>
      </x:c>
      <x:c r="H413" t="str">
        <x:v>Enterprise</x:v>
      </x:c>
      <x:c r="I413" t="n">
        <x:v>1</x:v>
      </x:c>
      <x:c r="J413" s="1" t="b">
        <x:v>0</x:v>
      </x:c>
      <x:c r="K413" t="str">
        <x:v>Active</x:v>
      </x:c>
      <x:c r="L413" t="n">
        <x:v>522</x:v>
      </x:c>
      <x:c r="M413" t="str"/>
      <x:c r="N413" t="n">
        <x:v>3</x:v>
      </x:c>
      <x:c r="O413" t="n">
        <x:v>12</x:v>
      </x:c>
      <x:c r="P413" s="16" t="n">
        <x:v>4910</x:v>
      </x:c>
      <x:c r="Q413" t="n">
        <x:v>1</x:v>
      </x:c>
      <x:c r="R413" t="n">
        <x:v>0</x:v>
      </x:c>
      <x:c r="S413" t="n">
        <x:v>456</x:v>
      </x:c>
      <x:c r="T413" s="18" t="n">
        <x:v>40.23444444444444</x:v>
      </x:c>
      <x:c r="U413" t="n">
        <x:v>24</x:v>
      </x:c>
      <x:c r="V413" t="n">
        <x:v>26</x:v>
      </x:c>
      <x:c r="W413" t="n">
        <x:v>3</x:v>
      </x:c>
      <x:c r="X413" s="18" t="n">
        <x:v>30.666666666666668</x:v>
      </x:c>
      <x:c r="Y413" s="18" t="n">
        <x:v>115</x:v>
      </x:c>
      <x:c r="Z413" s="18" t="n">
        <x:v>4.666666666666667</x:v>
      </x:c>
      <x:c r="AA413" t="n">
        <x:v>0</x:v>
      </x:c>
    </x:row>
    <x:row r="414">
      <x:c r="A414" t="str">
        <x:v>A-7920cc</x:v>
      </x:c>
      <x:c r="B414" t="str">
        <x:v>Company_412</x:v>
      </x:c>
      <x:c r="C414" t="str">
        <x:v>Cybersecurity</x:v>
      </x:c>
      <x:c r="D414" t="str">
        <x:v>FR</x:v>
      </x:c>
      <x:c r="E414" s="14" t="n">
        <x:v>45253</x:v>
      </x:c>
      <x:c r="F414" t="str">
        <x:v>2023-11</x:v>
      </x:c>
      <x:c r="G414" t="str">
        <x:v>ads</x:v>
      </x:c>
      <x:c r="H414" t="str">
        <x:v>Pro</x:v>
      </x:c>
      <x:c r="I414" t="n">
        <x:v>39</x:v>
      </x:c>
      <x:c r="J414" s="1" t="b">
        <x:v>0</x:v>
      </x:c>
      <x:c r="K414" t="str">
        <x:v>Active</x:v>
      </x:c>
      <x:c r="L414" t="n">
        <x:v>404</x:v>
      </x:c>
      <x:c r="M414" t="str"/>
      <x:c r="N414" t="n">
        <x:v>0</x:v>
      </x:c>
      <x:c r="O414" t="n">
        <x:v>16</x:v>
      </x:c>
      <x:c r="P414" s="16" t="n">
        <x:v>52089</x:v>
      </x:c>
      <x:c r="Q414" t="n">
        <x:v>1</x:v>
      </x:c>
      <x:c r="R414" t="n">
        <x:v>0</x:v>
      </x:c>
      <x:c r="S414" t="n">
        <x:v>601</x:v>
      </x:c>
      <x:c r="T414" s="18" t="n">
        <x:v>49.30888888888889</x:v>
      </x:c>
      <x:c r="U414" t="n">
        <x:v>28</x:v>
      </x:c>
      <x:c r="V414" t="n">
        <x:v>32</x:v>
      </x:c>
      <x:c r="W414" t="n">
        <x:v>7</x:v>
      </x:c>
      <x:c r="X414" s="18" t="n">
        <x:v>32.857142857142854</x:v>
      </x:c>
      <x:c r="Y414" s="18" t="n">
        <x:v>113.42857142857143</x:v>
      </x:c>
      <x:c r="Z414" s="18" t="n">
        <x:v>4.333333333333333</x:v>
      </x:c>
      <x:c r="AA414" t="n">
        <x:v>0</x:v>
      </x:c>
    </x:row>
    <x:row r="415">
      <x:c r="A415" t="str">
        <x:v>A-5a92e7</x:v>
      </x:c>
      <x:c r="B415" t="str">
        <x:v>Company_413</x:v>
      </x:c>
      <x:c r="C415" t="str">
        <x:v>HealthTech</x:v>
      </x:c>
      <x:c r="D415" t="str">
        <x:v>US</x:v>
      </x:c>
      <x:c r="E415" s="14" t="n">
        <x:v>45454</x:v>
      </x:c>
      <x:c r="F415" t="str">
        <x:v>2024-06</x:v>
      </x:c>
      <x:c r="G415" t="str">
        <x:v>ads</x:v>
      </x:c>
      <x:c r="H415" t="str">
        <x:v>Pro</x:v>
      </x:c>
      <x:c r="I415" t="n">
        <x:v>4</x:v>
      </x:c>
      <x:c r="J415" s="1" t="b">
        <x:v>0</x:v>
      </x:c>
      <x:c r="K415" t="str">
        <x:v>Active</x:v>
      </x:c>
      <x:c r="L415" t="n">
        <x:v>203</x:v>
      </x:c>
      <x:c r="M415" t="str"/>
      <x:c r="N415" t="n">
        <x:v>2</x:v>
      </x:c>
      <x:c r="O415" t="n">
        <x:v>19</x:v>
      </x:c>
      <x:c r="P415" s="16" t="n">
        <x:v>11666</x:v>
      </x:c>
      <x:c r="Q415" t="n">
        <x:v>0</x:v>
      </x:c>
      <x:c r="R415" t="n">
        <x:v>0</x:v>
      </x:c>
      <x:c r="S415" t="n">
        <x:v>885</x:v>
      </x:c>
      <x:c r="T415" s="18" t="n">
        <x:v>76.76027777777777</x:v>
      </x:c>
      <x:c r="U415" t="n">
        <x:v>76</x:v>
      </x:c>
      <x:c r="V415" t="n">
        <x:v>37</x:v>
      </x:c>
      <x:c r="W415" t="n">
        <x:v>7</x:v>
      </x:c>
      <x:c r="X415" s="18" t="n">
        <x:v>45</x:v>
      </x:c>
      <x:c r="Y415" s="18" t="n">
        <x:v>86.14285714285714</x:v>
      </x:c>
      <x:c r="Z415" s="18" t="n">
        <x:v>4.4</x:v>
      </x:c>
      <x:c r="AA415" t="n">
        <x:v>0</x:v>
      </x:c>
    </x:row>
    <x:row r="416">
      <x:c r="A416" t="str">
        <x:v>A-fdfc91</x:v>
      </x:c>
      <x:c r="B416" t="str">
        <x:v>Company_414</x:v>
      </x:c>
      <x:c r="C416" t="str">
        <x:v>Cybersecurity</x:v>
      </x:c>
      <x:c r="D416" t="str">
        <x:v>US</x:v>
      </x:c>
      <x:c r="E416" s="14" t="n">
        <x:v>45052</x:v>
      </x:c>
      <x:c r="F416" t="str">
        <x:v>2023-05</x:v>
      </x:c>
      <x:c r="G416" t="str">
        <x:v>ads</x:v>
      </x:c>
      <x:c r="H416" t="str">
        <x:v>Basic</x:v>
      </x:c>
      <x:c r="I416" t="n">
        <x:v>29</x:v>
      </x:c>
      <x:c r="J416" s="1" t="b">
        <x:v>0</x:v>
      </x:c>
      <x:c r="K416" t="str">
        <x:v>Active</x:v>
      </x:c>
      <x:c r="L416" t="n">
        <x:v>605</x:v>
      </x:c>
      <x:c r="M416" t="str"/>
      <x:c r="N416" t="n">
        <x:v>0</x:v>
      </x:c>
      <x:c r="O416" t="n">
        <x:v>10</x:v>
      </x:c>
      <x:c r="P416" s="16" t="n">
        <x:v>19191</x:v>
      </x:c>
      <x:c r="Q416" t="n">
        <x:v>1</x:v>
      </x:c>
      <x:c r="R416" t="n">
        <x:v>0</x:v>
      </x:c>
      <x:c r="S416" t="n">
        <x:v>564</x:v>
      </x:c>
      <x:c r="T416" s="18" t="n">
        <x:v>43.92861111111111</x:v>
      </x:c>
      <x:c r="U416" t="n">
        <x:v>29</x:v>
      </x:c>
      <x:c r="V416" t="n">
        <x:v>32</x:v>
      </x:c>
      <x:c r="W416" t="n">
        <x:v>5</x:v>
      </x:c>
      <x:c r="X416" s="18" t="n">
        <x:v>28.8</x:v>
      </x:c>
      <x:c r="Y416" s="18" t="n">
        <x:v>121</x:v>
      </x:c>
      <x:c r="Z416" s="18" t="n">
        <x:v>3.6666666666666665</x:v>
      </x:c>
      <x:c r="AA416" t="n">
        <x:v>0</x:v>
      </x:c>
    </x:row>
    <x:row r="417">
      <x:c r="A417" t="str">
        <x:v>A-1e50e0</x:v>
      </x:c>
      <x:c r="B417" t="str">
        <x:v>Company_415</x:v>
      </x:c>
      <x:c r="C417" t="str">
        <x:v>Cybersecurity</x:v>
      </x:c>
      <x:c r="D417" t="str">
        <x:v>DE</x:v>
      </x:c>
      <x:c r="E417" s="14" t="n">
        <x:v>44978</x:v>
      </x:c>
      <x:c r="F417" t="str">
        <x:v>2023-02</x:v>
      </x:c>
      <x:c r="G417" t="str">
        <x:v>other</x:v>
      </x:c>
      <x:c r="H417" t="str">
        <x:v>Pro</x:v>
      </x:c>
      <x:c r="I417" t="n">
        <x:v>19</x:v>
      </x:c>
      <x:c r="J417" s="1" t="b">
        <x:v>1</x:v>
      </x:c>
      <x:c r="K417" t="str">
        <x:v>Churned</x:v>
      </x:c>
      <x:c r="L417" t="n">
        <x:v>430</x:v>
      </x:c>
      <x:c r="M417" t="str">
        <x:v>pricing</x:v>
      </x:c>
      <x:c r="N417" t="n">
        <x:v>2</x:v>
      </x:c>
      <x:c r="O417" t="n">
        <x:v>5</x:v>
      </x:c>
      <x:c r="P417" s="16" t="n">
        <x:v>13295</x:v>
      </x:c>
      <x:c r="Q417" t="n">
        <x:v>1</x:v>
      </x:c>
      <x:c r="R417" t="n">
        <x:v>0</x:v>
      </x:c>
      <x:c r="S417" t="n">
        <x:v>194</x:v>
      </x:c>
      <x:c r="T417" s="18" t="n">
        <x:v>17.40277777777778</x:v>
      </x:c>
      <x:c r="U417" t="n">
        <x:v>15</x:v>
      </x:c>
      <x:c r="V417" t="n">
        <x:v>17</x:v>
      </x:c>
      <x:c r="W417" t="n">
        <x:v>2</x:v>
      </x:c>
      <x:c r="X417" s="18" t="n">
        <x:v>20.5</x:v>
      </x:c>
      <x:c r="Y417" s="18" t="n">
        <x:v>143</x:v>
      </x:c>
      <x:c r="Z417" s="18" t="n">
        <x:v>5</x:v>
      </x:c>
      <x:c r="AA417" t="n">
        <x:v>1</x:v>
      </x:c>
    </x:row>
    <x:row r="418">
      <x:c r="A418" t="str">
        <x:v>A-1e1b80</x:v>
      </x:c>
      <x:c r="B418" t="str">
        <x:v>Company_416</x:v>
      </x:c>
      <x:c r="C418" t="str">
        <x:v>FinTech</x:v>
      </x:c>
      <x:c r="D418" t="str">
        <x:v>CA</x:v>
      </x:c>
      <x:c r="E418" s="14" t="n">
        <x:v>45181</x:v>
      </x:c>
      <x:c r="F418" t="str">
        <x:v>2023-09</x:v>
      </x:c>
      <x:c r="G418" t="str">
        <x:v>other</x:v>
      </x:c>
      <x:c r="H418" t="str">
        <x:v>Enterprise</x:v>
      </x:c>
      <x:c r="I418" t="n">
        <x:v>50</x:v>
      </x:c>
      <x:c r="J418" s="1" t="b">
        <x:v>0</x:v>
      </x:c>
      <x:c r="K418" t="str">
        <x:v>Active</x:v>
      </x:c>
      <x:c r="L418" t="n">
        <x:v>476</x:v>
      </x:c>
      <x:c r="M418" t="str"/>
      <x:c r="N418" t="n">
        <x:v>3</x:v>
      </x:c>
      <x:c r="O418" t="n">
        <x:v>12</x:v>
      </x:c>
      <x:c r="P418" s="16" t="n">
        <x:v>48647</x:v>
      </x:c>
      <x:c r="Q418" t="n">
        <x:v>1</x:v>
      </x:c>
      <x:c r="R418" t="n">
        <x:v>0</x:v>
      </x:c>
      <x:c r="S418" t="n">
        <x:v>682</x:v>
      </x:c>
      <x:c r="T418" s="18" t="n">
        <x:v>58.143055555555556</x:v>
      </x:c>
      <x:c r="U418" t="n">
        <x:v>47</x:v>
      </x:c>
      <x:c r="V418" t="n">
        <x:v>34</x:v>
      </x:c>
      <x:c r="W418" t="n">
        <x:v>6</x:v>
      </x:c>
      <x:c r="X418" s="18" t="n">
        <x:v>43</x:v>
      </x:c>
      <x:c r="Y418" s="18" t="n">
        <x:v>67.5</x:v>
      </x:c>
      <x:c r="Z418" s="18" t="n">
        <x:v>3.2</x:v>
      </x:c>
      <x:c r="AA418" t="n">
        <x:v>0</x:v>
      </x:c>
    </x:row>
    <x:row r="419">
      <x:c r="A419" t="str">
        <x:v>A-659280</x:v>
      </x:c>
      <x:c r="B419" t="str">
        <x:v>Company_417</x:v>
      </x:c>
      <x:c r="C419" t="str">
        <x:v>FinTech</x:v>
      </x:c>
      <x:c r="D419" t="str">
        <x:v>IN</x:v>
      </x:c>
      <x:c r="E419" s="14" t="n">
        <x:v>45247</x:v>
      </x:c>
      <x:c r="F419" t="str">
        <x:v>2023-11</x:v>
      </x:c>
      <x:c r="G419" t="str">
        <x:v>event</x:v>
      </x:c>
      <x:c r="H419" t="str">
        <x:v>Enterprise</x:v>
      </x:c>
      <x:c r="I419" t="n">
        <x:v>13</x:v>
      </x:c>
      <x:c r="J419" s="1" t="b">
        <x:v>1</x:v>
      </x:c>
      <x:c r="K419" t="str">
        <x:v>Churned</x:v>
      </x:c>
      <x:c r="L419" t="n">
        <x:v>371</x:v>
      </x:c>
      <x:c r="M419" t="str">
        <x:v>pricing</x:v>
      </x:c>
      <x:c r="N419" t="n">
        <x:v>2</x:v>
      </x:c>
      <x:c r="O419" t="n">
        <x:v>12</x:v>
      </x:c>
      <x:c r="P419" s="16" t="n">
        <x:v>21450</x:v>
      </x:c>
      <x:c r="Q419" t="n">
        <x:v>2</x:v>
      </x:c>
      <x:c r="R419" t="n">
        <x:v>0</x:v>
      </x:c>
      <x:c r="S419" t="n">
        <x:v>613</x:v>
      </x:c>
      <x:c r="T419" s="18" t="n">
        <x:v>51.70055555555555</x:v>
      </x:c>
      <x:c r="U419" t="n">
        <x:v>34</x:v>
      </x:c>
      <x:c r="V419" t="n">
        <x:v>30</x:v>
      </x:c>
      <x:c r="W419" t="n">
        <x:v>4</x:v>
      </x:c>
      <x:c r="X419" s="18" t="n">
        <x:v>8</x:v>
      </x:c>
      <x:c r="Y419" s="18" t="n">
        <x:v>123.75</x:v>
      </x:c>
      <x:c r="Z419" s="18" t="n">
        <x:v>4.333333333333333</x:v>
      </x:c>
      <x:c r="AA419" t="n">
        <x:v>0</x:v>
      </x:c>
    </x:row>
    <x:row r="420">
      <x:c r="A420" t="str">
        <x:v>A-f6b2fb</x:v>
      </x:c>
      <x:c r="B420" t="str">
        <x:v>Company_418</x:v>
      </x:c>
      <x:c r="C420" t="str">
        <x:v>DevTools</x:v>
      </x:c>
      <x:c r="D420" t="str">
        <x:v>AU</x:v>
      </x:c>
      <x:c r="E420" s="14" t="n">
        <x:v>45405</x:v>
      </x:c>
      <x:c r="F420" t="str">
        <x:v>2024-04</x:v>
      </x:c>
      <x:c r="G420" t="str">
        <x:v>event</x:v>
      </x:c>
      <x:c r="H420" t="str">
        <x:v>Basic</x:v>
      </x:c>
      <x:c r="I420" t="n">
        <x:v>23</x:v>
      </x:c>
      <x:c r="J420" s="1" t="b">
        <x:v>0</x:v>
      </x:c>
      <x:c r="K420" t="str">
        <x:v>Active</x:v>
      </x:c>
      <x:c r="L420" t="n">
        <x:v>252</x:v>
      </x:c>
      <x:c r="M420" t="str"/>
      <x:c r="N420" t="n">
        <x:v>1</x:v>
      </x:c>
      <x:c r="O420" t="n">
        <x:v>10</x:v>
      </x:c>
      <x:c r="P420" s="16" t="n">
        <x:v>22232</x:v>
      </x:c>
      <x:c r="Q420" t="n">
        <x:v>1</x:v>
      </x:c>
      <x:c r="R420" t="n">
        <x:v>1</x:v>
      </x:c>
      <x:c r="S420" t="n">
        <x:v>524</x:v>
      </x:c>
      <x:c r="T420" s="18" t="n">
        <x:v>44.00333333333333</x:v>
      </x:c>
      <x:c r="U420" t="n">
        <x:v>37</x:v>
      </x:c>
      <x:c r="V420" t="n">
        <x:v>29</x:v>
      </x:c>
      <x:c r="W420" t="n">
        <x:v>5</x:v>
      </x:c>
      <x:c r="X420" s="18" t="n">
        <x:v>55</x:v>
      </x:c>
      <x:c r="Y420" s="18" t="n">
        <x:v>88.6</x:v>
      </x:c>
      <x:c r="Z420" s="18" t="n">
        <x:v>4</x:v>
      </x:c>
      <x:c r="AA420" t="n">
        <x:v>1</x:v>
      </x:c>
    </x:row>
    <x:row r="421">
      <x:c r="A421" t="str">
        <x:v>A-cb6cc6</x:v>
      </x:c>
      <x:c r="B421" t="str">
        <x:v>Company_419</x:v>
      </x:c>
      <x:c r="C421" t="str">
        <x:v>DevTools</x:v>
      </x:c>
      <x:c r="D421" t="str">
        <x:v>US</x:v>
      </x:c>
      <x:c r="E421" s="14" t="n">
        <x:v>45019</x:v>
      </x:c>
      <x:c r="F421" t="str">
        <x:v>2023-04</x:v>
      </x:c>
      <x:c r="G421" t="str">
        <x:v>ads</x:v>
      </x:c>
      <x:c r="H421" t="str">
        <x:v>Basic</x:v>
      </x:c>
      <x:c r="I421" t="n">
        <x:v>13</x:v>
      </x:c>
      <x:c r="J421" s="1" t="b">
        <x:v>1</x:v>
      </x:c>
      <x:c r="K421" t="str">
        <x:v>Active</x:v>
      </x:c>
      <x:c r="L421" t="n">
        <x:v>638</x:v>
      </x:c>
      <x:c r="M421" t="str"/>
      <x:c r="N421" t="n">
        <x:v>0</x:v>
      </x:c>
      <x:c r="O421" t="n">
        <x:v>7</x:v>
      </x:c>
      <x:c r="P421" s="16" t="n">
        <x:v>2622</x:v>
      </x:c>
      <x:c r="Q421" t="n">
        <x:v>2</x:v>
      </x:c>
      <x:c r="R421" t="n">
        <x:v>0</x:v>
      </x:c>
      <x:c r="S421" t="n">
        <x:v>314</x:v>
      </x:c>
      <x:c r="T421" s="18" t="n">
        <x:v>28.255277777777778</x:v>
      </x:c>
      <x:c r="U421" t="n">
        <x:v>26</x:v>
      </x:c>
      <x:c r="V421" t="n">
        <x:v>21</x:v>
      </x:c>
      <x:c r="W421" t="n">
        <x:v>3</x:v>
      </x:c>
      <x:c r="X421" s="18" t="n">
        <x:v>16.333333333333332</x:v>
      </x:c>
      <x:c r="Y421" s="18" t="n">
        <x:v>131.66666666666666</x:v>
      </x:c>
      <x:c r="Z421" s="18" t="n">
        <x:v>3.5</x:v>
      </x:c>
      <x:c r="AA421" t="n">
        <x:v>0</x:v>
      </x:c>
    </x:row>
    <x:row r="422">
      <x:c r="A422" t="str">
        <x:v>A-d62e02</x:v>
      </x:c>
      <x:c r="B422" t="str">
        <x:v>Company_420</x:v>
      </x:c>
      <x:c r="C422" t="str">
        <x:v>Cybersecurity</x:v>
      </x:c>
      <x:c r="D422" t="str">
        <x:v>US</x:v>
      </x:c>
      <x:c r="E422" s="14" t="n">
        <x:v>45524</x:v>
      </x:c>
      <x:c r="F422" t="str">
        <x:v>2024-08</x:v>
      </x:c>
      <x:c r="G422" t="str">
        <x:v>partner</x:v>
      </x:c>
      <x:c r="H422" t="str">
        <x:v>Pro</x:v>
      </x:c>
      <x:c r="I422" t="n">
        <x:v>6</x:v>
      </x:c>
      <x:c r="J422" s="1" t="b">
        <x:v>0</x:v>
      </x:c>
      <x:c r="K422" t="str">
        <x:v>Active</x:v>
      </x:c>
      <x:c r="L422" t="n">
        <x:v>133</x:v>
      </x:c>
      <x:c r="M422" t="str"/>
      <x:c r="N422" t="n">
        <x:v>0</x:v>
      </x:c>
      <x:c r="O422" t="n">
        <x:v>10</x:v>
      </x:c>
      <x:c r="P422" s="16" t="n">
        <x:v>21324</x:v>
      </x:c>
      <x:c r="Q422" t="n">
        <x:v>1</x:v>
      </x:c>
      <x:c r="R422" t="n">
        <x:v>1</x:v>
      </x:c>
      <x:c r="S422" t="n">
        <x:v>344</x:v>
      </x:c>
      <x:c r="T422" s="18" t="n">
        <x:v>35.210277777777776</x:v>
      </x:c>
      <x:c r="U422" t="n">
        <x:v>23</x:v>
      </x:c>
      <x:c r="V422" t="n">
        <x:v>25</x:v>
      </x:c>
      <x:c r="W422" t="n">
        <x:v>1</x:v>
      </x:c>
      <x:c r="X422" s="18" t="n">
        <x:v>36</x:v>
      </x:c>
      <x:c r="Y422" s="18" t="n">
        <x:v>31</x:v>
      </x:c>
      <x:c r="Z422" s="18" t="n">
        <x:v>4</x:v>
      </x:c>
      <x:c r="AA422" t="n">
        <x:v>0</x:v>
      </x:c>
    </x:row>
    <x:row r="423">
      <x:c r="A423" t="str">
        <x:v>A-d535f6</x:v>
      </x:c>
      <x:c r="B423" t="str">
        <x:v>Company_421</x:v>
      </x:c>
      <x:c r="C423" t="str">
        <x:v>DevTools</x:v>
      </x:c>
      <x:c r="D423" t="str">
        <x:v>US</x:v>
      </x:c>
      <x:c r="E423" s="14" t="n">
        <x:v>45538</x:v>
      </x:c>
      <x:c r="F423" t="str">
        <x:v>2024-09</x:v>
      </x:c>
      <x:c r="G423" t="str">
        <x:v>organic</x:v>
      </x:c>
      <x:c r="H423" t="str">
        <x:v>Basic</x:v>
      </x:c>
      <x:c r="I423" t="n">
        <x:v>12</x:v>
      </x:c>
      <x:c r="J423" s="1" t="b">
        <x:v>1</x:v>
      </x:c>
      <x:c r="K423" t="str">
        <x:v>Churned</x:v>
      </x:c>
      <x:c r="L423" t="n">
        <x:v>84</x:v>
      </x:c>
      <x:c r="M423" t="str">
        <x:v>features</x:v>
      </x:c>
      <x:c r="N423" t="n">
        <x:v>2</x:v>
      </x:c>
      <x:c r="O423" t="n">
        <x:v>9</x:v>
      </x:c>
      <x:c r="P423" s="16" t="n">
        <x:v>7415</x:v>
      </x:c>
      <x:c r="Q423" t="n">
        <x:v>1</x:v>
      </x:c>
      <x:c r="R423" t="n">
        <x:v>3</x:v>
      </x:c>
      <x:c r="S423" t="n">
        <x:v>477</x:v>
      </x:c>
      <x:c r="T423" s="18" t="n">
        <x:v>40.570277777777775</x:v>
      </x:c>
      <x:c r="U423" t="n">
        <x:v>29</x:v>
      </x:c>
      <x:c r="V423" t="n">
        <x:v>26</x:v>
      </x:c>
      <x:c r="W423" t="n">
        <x:v>0</x:v>
      </x:c>
      <x:c r="X423" s="18"/>
      <x:c r="Y423" s="18"/>
      <x:c r="Z423" s="18"/>
      <x:c r="AA423" t="n">
        <x:v>0</x:v>
      </x:c>
    </x:row>
    <x:row r="424">
      <x:c r="A424" t="str">
        <x:v>A-39868b</x:v>
      </x:c>
      <x:c r="B424" t="str">
        <x:v>Company_422</x:v>
      </x:c>
      <x:c r="C424" t="str">
        <x:v>FinTech</x:v>
      </x:c>
      <x:c r="D424" t="str">
        <x:v>AU</x:v>
      </x:c>
      <x:c r="E424" s="14" t="n">
        <x:v>45368</x:v>
      </x:c>
      <x:c r="F424" t="str">
        <x:v>2024-03</x:v>
      </x:c>
      <x:c r="G424" t="str">
        <x:v>partner</x:v>
      </x:c>
      <x:c r="H424" t="str">
        <x:v>Pro</x:v>
      </x:c>
      <x:c r="I424" t="n">
        <x:v>9</x:v>
      </x:c>
      <x:c r="J424" s="1" t="b">
        <x:v>0</x:v>
      </x:c>
      <x:c r="K424" t="str">
        <x:v>Active</x:v>
      </x:c>
      <x:c r="L424" t="n">
        <x:v>289</x:v>
      </x:c>
      <x:c r="M424" t="str"/>
      <x:c r="N424" t="n">
        <x:v>2</x:v>
      </x:c>
      <x:c r="O424" t="n">
        <x:v>5</x:v>
      </x:c>
      <x:c r="P424" s="16" t="n">
        <x:v>4194</x:v>
      </x:c>
      <x:c r="Q424" t="n">
        <x:v>1</x:v>
      </x:c>
      <x:c r="R424" t="n">
        <x:v>0</x:v>
      </x:c>
      <x:c r="S424" t="n">
        <x:v>305</x:v>
      </x:c>
      <x:c r="T424" s="18" t="n">
        <x:v>29.525555555555556</x:v>
      </x:c>
      <x:c r="U424" t="n">
        <x:v>21</x:v>
      </x:c>
      <x:c r="V424" t="n">
        <x:v>22</x:v>
      </x:c>
      <x:c r="W424" t="n">
        <x:v>6</x:v>
      </x:c>
      <x:c r="X424" s="18" t="n">
        <x:v>39</x:v>
      </x:c>
      <x:c r="Y424" s="18" t="n">
        <x:v>100.83333333333333</x:v>
      </x:c>
      <x:c r="Z424" s="18" t="n">
        <x:v>4.25</x:v>
      </x:c>
      <x:c r="AA424" t="n">
        <x:v>0</x:v>
      </x:c>
    </x:row>
    <x:row r="425">
      <x:c r="A425" t="str">
        <x:v>A-3cc791</x:v>
      </x:c>
      <x:c r="B425" t="str">
        <x:v>Company_423</x:v>
      </x:c>
      <x:c r="C425" t="str">
        <x:v>EdTech</x:v>
      </x:c>
      <x:c r="D425" t="str">
        <x:v>US</x:v>
      </x:c>
      <x:c r="E425" s="14" t="n">
        <x:v>45301</x:v>
      </x:c>
      <x:c r="F425" t="str">
        <x:v>2024-01</x:v>
      </x:c>
      <x:c r="G425" t="str">
        <x:v>other</x:v>
      </x:c>
      <x:c r="H425" t="str">
        <x:v>Enterprise</x:v>
      </x:c>
      <x:c r="I425" t="n">
        <x:v>6</x:v>
      </x:c>
      <x:c r="J425" s="1" t="b">
        <x:v>0</x:v>
      </x:c>
      <x:c r="K425" t="str">
        <x:v>Active</x:v>
      </x:c>
      <x:c r="L425" t="n">
        <x:v>356</x:v>
      </x:c>
      <x:c r="M425" t="str"/>
      <x:c r="N425" t="n">
        <x:v>1</x:v>
      </x:c>
      <x:c r="O425" t="n">
        <x:v>8</x:v>
      </x:c>
      <x:c r="P425" s="16" t="n">
        <x:v>8522</x:v>
      </x:c>
      <x:c r="Q425" t="n">
        <x:v>0</x:v>
      </x:c>
      <x:c r="R425" t="n">
        <x:v>0</x:v>
      </x:c>
      <x:c r="S425" t="n">
        <x:v>447</x:v>
      </x:c>
      <x:c r="T425" s="18" t="n">
        <x:v>41.397777777777776</x:v>
      </x:c>
      <x:c r="U425" t="n">
        <x:v>30</x:v>
      </x:c>
      <x:c r="V425" t="n">
        <x:v>28</x:v>
      </x:c>
      <x:c r="W425" t="n">
        <x:v>6</x:v>
      </x:c>
      <x:c r="X425" s="18" t="n">
        <x:v>48.333333333333336</x:v>
      </x:c>
      <x:c r="Y425" s="18" t="n">
        <x:v>95.83333333333333</x:v>
      </x:c>
      <x:c r="Z425" s="18" t="n">
        <x:v>4.25</x:v>
      </x:c>
      <x:c r="AA425" t="n">
        <x:v>1</x:v>
      </x:c>
    </x:row>
    <x:row r="426">
      <x:c r="A426" t="str">
        <x:v>A-337bc1</x:v>
      </x:c>
      <x:c r="B426" t="str">
        <x:v>Company_424</x:v>
      </x:c>
      <x:c r="C426" t="str">
        <x:v>Cybersecurity</x:v>
      </x:c>
      <x:c r="D426" t="str">
        <x:v>US</x:v>
      </x:c>
      <x:c r="E426" s="14" t="n">
        <x:v>45126</x:v>
      </x:c>
      <x:c r="F426" t="str">
        <x:v>2023-07</x:v>
      </x:c>
      <x:c r="G426" t="str">
        <x:v>organic</x:v>
      </x:c>
      <x:c r="H426" t="str">
        <x:v>Pro</x:v>
      </x:c>
      <x:c r="I426" t="n">
        <x:v>30</x:v>
      </x:c>
      <x:c r="J426" s="1" t="b">
        <x:v>1</x:v>
      </x:c>
      <x:c r="K426" t="str">
        <x:v>Active</x:v>
      </x:c>
      <x:c r="L426" t="n">
        <x:v>531</x:v>
      </x:c>
      <x:c r="M426" t="str"/>
      <x:c r="N426" t="n">
        <x:v>2</x:v>
      </x:c>
      <x:c r="O426" t="n">
        <x:v>7</x:v>
      </x:c>
      <x:c r="P426" s="16" t="n">
        <x:v>19379</x:v>
      </x:c>
      <x:c r="Q426" t="n">
        <x:v>2</x:v>
      </x:c>
      <x:c r="R426" t="n">
        <x:v>2</x:v>
      </x:c>
      <x:c r="S426" t="n">
        <x:v>425</x:v>
      </x:c>
      <x:c r="T426" s="18" t="n">
        <x:v>39.19861111111111</x:v>
      </x:c>
      <x:c r="U426" t="n">
        <x:v>34</x:v>
      </x:c>
      <x:c r="V426" t="n">
        <x:v>27</x:v>
      </x:c>
      <x:c r="W426" t="n">
        <x:v>4</x:v>
      </x:c>
      <x:c r="X426" s="18" t="n">
        <x:v>32.5</x:v>
      </x:c>
      <x:c r="Y426" s="18" t="n">
        <x:v>62.75</x:v>
      </x:c>
      <x:c r="Z426" s="18" t="n">
        <x:v>4</x:v>
      </x:c>
      <x:c r="AA426" t="n">
        <x:v>1</x:v>
      </x:c>
    </x:row>
    <x:row r="427">
      <x:c r="A427" t="str">
        <x:v>A-58b9ff</x:v>
      </x:c>
      <x:c r="B427" t="str">
        <x:v>Company_425</x:v>
      </x:c>
      <x:c r="C427" t="str">
        <x:v>DevTools</x:v>
      </x:c>
      <x:c r="D427" t="str">
        <x:v>IN</x:v>
      </x:c>
      <x:c r="E427" s="14" t="n">
        <x:v>45443</x:v>
      </x:c>
      <x:c r="F427" t="str">
        <x:v>2024-05</x:v>
      </x:c>
      <x:c r="G427" t="str">
        <x:v>partner</x:v>
      </x:c>
      <x:c r="H427" t="str">
        <x:v>Enterprise</x:v>
      </x:c>
      <x:c r="I427" t="n">
        <x:v>2</x:v>
      </x:c>
      <x:c r="J427" s="1" t="b">
        <x:v>0</x:v>
      </x:c>
      <x:c r="K427" t="str">
        <x:v>Active</x:v>
      </x:c>
      <x:c r="L427" t="n">
        <x:v>214</x:v>
      </x:c>
      <x:c r="M427" t="str"/>
      <x:c r="N427" t="n">
        <x:v>1</x:v>
      </x:c>
      <x:c r="O427" t="n">
        <x:v>13</x:v>
      </x:c>
      <x:c r="P427" s="16" t="n">
        <x:v>22244</x:v>
      </x:c>
      <x:c r="Q427" t="n">
        <x:v>1</x:v>
      </x:c>
      <x:c r="R427" t="n">
        <x:v>1</x:v>
      </x:c>
      <x:c r="S427" t="n">
        <x:v>667</x:v>
      </x:c>
      <x:c r="T427" s="18" t="n">
        <x:v>55.7575</x:v>
      </x:c>
      <x:c r="U427" t="n">
        <x:v>32</x:v>
      </x:c>
      <x:c r="V427" t="n">
        <x:v>28</x:v>
      </x:c>
      <x:c r="W427" t="n">
        <x:v>2</x:v>
      </x:c>
      <x:c r="X427" s="18" t="n">
        <x:v>66</x:v>
      </x:c>
      <x:c r="Y427" s="18" t="n">
        <x:v>79</x:v>
      </x:c>
      <x:c r="Z427" s="18" t="n">
        <x:v>4</x:v>
      </x:c>
      <x:c r="AA427" t="n">
        <x:v>1</x:v>
      </x:c>
    </x:row>
    <x:row r="428">
      <x:c r="A428" t="str">
        <x:v>A-bf7919</x:v>
      </x:c>
      <x:c r="B428" t="str">
        <x:v>Company_426</x:v>
      </x:c>
      <x:c r="C428" t="str">
        <x:v>HealthTech</x:v>
      </x:c>
      <x:c r="D428" t="str">
        <x:v>US</x:v>
      </x:c>
      <x:c r="E428" s="14" t="n">
        <x:v>45623</x:v>
      </x:c>
      <x:c r="F428" t="str">
        <x:v>2024-11</x:v>
      </x:c>
      <x:c r="G428" t="str">
        <x:v>organic</x:v>
      </x:c>
      <x:c r="H428" t="str">
        <x:v>Pro</x:v>
      </x:c>
      <x:c r="I428" t="n">
        <x:v>3</x:v>
      </x:c>
      <x:c r="J428" s="1" t="b">
        <x:v>0</x:v>
      </x:c>
      <x:c r="K428" t="str">
        <x:v>Active</x:v>
      </x:c>
      <x:c r="L428" t="n">
        <x:v>34</x:v>
      </x:c>
      <x:c r="M428" t="str"/>
      <x:c r="N428" t="n">
        <x:v>2</x:v>
      </x:c>
      <x:c r="O428" t="n">
        <x:v>6</x:v>
      </x:c>
      <x:c r="P428" s="16" t="n">
        <x:v>825</x:v>
      </x:c>
      <x:c r="Q428" t="n">
        <x:v>0</x:v>
      </x:c>
      <x:c r="R428" t="n">
        <x:v>0</x:v>
      </x:c>
      <x:c r="S428" t="n">
        <x:v>262</x:v>
      </x:c>
      <x:c r="T428" s="18" t="n">
        <x:v>21.516111111111112</x:v>
      </x:c>
      <x:c r="U428" t="n">
        <x:v>14</x:v>
      </x:c>
      <x:c r="V428" t="n">
        <x:v>23</x:v>
      </x:c>
      <x:c r="W428" t="n">
        <x:v>2</x:v>
      </x:c>
      <x:c r="X428" s="18" t="n">
        <x:v>14.5</x:v>
      </x:c>
      <x:c r="Y428" s="18" t="n">
        <x:v>81.5</x:v>
      </x:c>
      <x:c r="Z428" s="18" t="n">
        <x:v>5</x:v>
      </x:c>
      <x:c r="AA428" t="n">
        <x:v>0</x:v>
      </x:c>
    </x:row>
    <x:row r="429">
      <x:c r="A429" t="str">
        <x:v>A-1d5444</x:v>
      </x:c>
      <x:c r="B429" t="str">
        <x:v>Company_427</x:v>
      </x:c>
      <x:c r="C429" t="str">
        <x:v>Cybersecurity</x:v>
      </x:c>
      <x:c r="D429" t="str">
        <x:v>US</x:v>
      </x:c>
      <x:c r="E429" s="14" t="n">
        <x:v>45309</x:v>
      </x:c>
      <x:c r="F429" t="str">
        <x:v>2024-01</x:v>
      </x:c>
      <x:c r="G429" t="str">
        <x:v>partner</x:v>
      </x:c>
      <x:c r="H429" t="str">
        <x:v>Basic</x:v>
      </x:c>
      <x:c r="I429" t="n">
        <x:v>24</x:v>
      </x:c>
      <x:c r="J429" s="1" t="b">
        <x:v>0</x:v>
      </x:c>
      <x:c r="K429" t="str">
        <x:v>Churned</x:v>
      </x:c>
      <x:c r="L429" t="n">
        <x:v>135</x:v>
      </x:c>
      <x:c r="M429" t="str">
        <x:v>support</x:v>
      </x:c>
      <x:c r="N429" t="n">
        <x:v>1</x:v>
      </x:c>
      <x:c r="O429" t="n">
        <x:v>14</x:v>
      </x:c>
      <x:c r="P429" s="16" t="n">
        <x:v>30958</x:v>
      </x:c>
      <x:c r="Q429" t="n">
        <x:v>2</x:v>
      </x:c>
      <x:c r="R429" t="n">
        <x:v>0</x:v>
      </x:c>
      <x:c r="S429" t="n">
        <x:v>592</x:v>
      </x:c>
      <x:c r="T429" s="18" t="n">
        <x:v>50.564166666666665</x:v>
      </x:c>
      <x:c r="U429" t="n">
        <x:v>35</x:v>
      </x:c>
      <x:c r="V429" t="n">
        <x:v>28</x:v>
      </x:c>
      <x:c r="W429" t="n">
        <x:v>2</x:v>
      </x:c>
      <x:c r="X429" s="18" t="n">
        <x:v>30</x:v>
      </x:c>
      <x:c r="Y429" s="18" t="n">
        <x:v>62.5</x:v>
      </x:c>
      <x:c r="Z429" s="18" t="n">
        <x:v>4</x:v>
      </x:c>
      <x:c r="AA429" t="n">
        <x:v>0</x:v>
      </x:c>
    </x:row>
    <x:row r="430">
      <x:c r="A430" t="str">
        <x:v>A-0f3e88</x:v>
      </x:c>
      <x:c r="B430" t="str">
        <x:v>Company_428</x:v>
      </x:c>
      <x:c r="C430" t="str">
        <x:v>HealthTech</x:v>
      </x:c>
      <x:c r="D430" t="str">
        <x:v>US</x:v>
      </x:c>
      <x:c r="E430" s="14" t="n">
        <x:v>45130</x:v>
      </x:c>
      <x:c r="F430" t="str">
        <x:v>2023-07</x:v>
      </x:c>
      <x:c r="G430" t="str">
        <x:v>other</x:v>
      </x:c>
      <x:c r="H430" t="str">
        <x:v>Basic</x:v>
      </x:c>
      <x:c r="I430" t="n">
        <x:v>7</x:v>
      </x:c>
      <x:c r="J430" s="1" t="b">
        <x:v>0</x:v>
      </x:c>
      <x:c r="K430" t="str">
        <x:v>Churned</x:v>
      </x:c>
      <x:c r="L430" t="n">
        <x:v>385</x:v>
      </x:c>
      <x:c r="M430" t="str">
        <x:v>budget</x:v>
      </x:c>
      <x:c r="N430" t="n">
        <x:v>1</x:v>
      </x:c>
      <x:c r="O430" t="n">
        <x:v>11</x:v>
      </x:c>
      <x:c r="P430" s="16" t="n">
        <x:v>5281</x:v>
      </x:c>
      <x:c r="Q430" t="n">
        <x:v>2</x:v>
      </x:c>
      <x:c r="R430" t="n">
        <x:v>0</x:v>
      </x:c>
      <x:c r="S430" t="n">
        <x:v>598</x:v>
      </x:c>
      <x:c r="T430" s="18" t="n">
        <x:v>49.06388888888889</x:v>
      </x:c>
      <x:c r="U430" t="n">
        <x:v>28</x:v>
      </x:c>
      <x:c r="V430" t="n">
        <x:v>32</x:v>
      </x:c>
      <x:c r="W430" t="n">
        <x:v>3</x:v>
      </x:c>
      <x:c r="X430" s="18" t="n">
        <x:v>48</x:v>
      </x:c>
      <x:c r="Y430" s="18" t="n">
        <x:v>67</x:v>
      </x:c>
      <x:c r="Z430" s="18" t="n">
        <x:v>4.5</x:v>
      </x:c>
      <x:c r="AA430" t="n">
        <x:v>0</x:v>
      </x:c>
    </x:row>
    <x:row r="431">
      <x:c r="A431" t="str">
        <x:v>A-7641d3</x:v>
      </x:c>
      <x:c r="B431" t="str">
        <x:v>Company_429</x:v>
      </x:c>
      <x:c r="C431" t="str">
        <x:v>EdTech</x:v>
      </x:c>
      <x:c r="D431" t="str">
        <x:v>US</x:v>
      </x:c>
      <x:c r="E431" s="14" t="n">
        <x:v>44973</x:v>
      </x:c>
      <x:c r="F431" t="str">
        <x:v>2023-02</x:v>
      </x:c>
      <x:c r="G431" t="str">
        <x:v>partner</x:v>
      </x:c>
      <x:c r="H431" t="str">
        <x:v>Pro</x:v>
      </x:c>
      <x:c r="I431" t="n">
        <x:v>8</x:v>
      </x:c>
      <x:c r="J431" s="1" t="b">
        <x:v>1</x:v>
      </x:c>
      <x:c r="K431" t="str">
        <x:v>Churned</x:v>
      </x:c>
      <x:c r="L431" t="n">
        <x:v>477</x:v>
      </x:c>
      <x:c r="M431" t="str">
        <x:v>unknown</x:v>
      </x:c>
      <x:c r="N431" t="n">
        <x:v>2</x:v>
      </x:c>
      <x:c r="O431" t="n">
        <x:v>11</x:v>
      </x:c>
      <x:c r="P431" s="16" t="n">
        <x:v>12060</x:v>
      </x:c>
      <x:c r="Q431" t="n">
        <x:v>0</x:v>
      </x:c>
      <x:c r="R431" t="n">
        <x:v>1</x:v>
      </x:c>
      <x:c r="S431" t="n">
        <x:v>519</x:v>
      </x:c>
      <x:c r="T431" s="18" t="n">
        <x:v>45.765277777777776</x:v>
      </x:c>
      <x:c r="U431" t="n">
        <x:v>26</x:v>
      </x:c>
      <x:c r="V431" t="n">
        <x:v>28</x:v>
      </x:c>
      <x:c r="W431" t="n">
        <x:v>5</x:v>
      </x:c>
      <x:c r="X431" s="18" t="n">
        <x:v>45.2</x:v>
      </x:c>
      <x:c r="Y431" s="18" t="n">
        <x:v>124.6</x:v>
      </x:c>
      <x:c r="Z431" s="18" t="n">
        <x:v>4.333333333333333</x:v>
      </x:c>
      <x:c r="AA431" t="n">
        <x:v>2</x:v>
      </x:c>
    </x:row>
    <x:row r="432">
      <x:c r="A432" t="str">
        <x:v>A-cd458b</x:v>
      </x:c>
      <x:c r="B432" t="str">
        <x:v>Company_430</x:v>
      </x:c>
      <x:c r="C432" t="str">
        <x:v>DevTools</x:v>
      </x:c>
      <x:c r="D432" t="str">
        <x:v>US</x:v>
      </x:c>
      <x:c r="E432" s="14" t="n">
        <x:v>45458</x:v>
      </x:c>
      <x:c r="F432" t="str">
        <x:v>2024-06</x:v>
      </x:c>
      <x:c r="G432" t="str">
        <x:v>other</x:v>
      </x:c>
      <x:c r="H432" t="str">
        <x:v>Basic</x:v>
      </x:c>
      <x:c r="I432" t="n">
        <x:v>10</x:v>
      </x:c>
      <x:c r="J432" s="1" t="b">
        <x:v>1</x:v>
      </x:c>
      <x:c r="K432" t="str">
        <x:v>Active</x:v>
      </x:c>
      <x:c r="L432" t="n">
        <x:v>199</x:v>
      </x:c>
      <x:c r="M432" t="str"/>
      <x:c r="N432" t="n">
        <x:v>1</x:v>
      </x:c>
      <x:c r="O432" t="n">
        <x:v>15</x:v>
      </x:c>
      <x:c r="P432" s="16" t="n">
        <x:v>42740</x:v>
      </x:c>
      <x:c r="Q432" t="n">
        <x:v>0</x:v>
      </x:c>
      <x:c r="R432" t="n">
        <x:v>1</x:v>
      </x:c>
      <x:c r="S432" t="n">
        <x:v>864</x:v>
      </x:c>
      <x:c r="T432" s="18" t="n">
        <x:v>74.06222222222222</x:v>
      </x:c>
      <x:c r="U432" t="n">
        <x:v>45</x:v>
      </x:c>
      <x:c r="V432" t="n">
        <x:v>34</x:v>
      </x:c>
      <x:c r="W432" t="n">
        <x:v>5</x:v>
      </x:c>
      <x:c r="X432" s="18" t="n">
        <x:v>38.4</x:v>
      </x:c>
      <x:c r="Y432" s="18" t="n">
        <x:v>81.2</x:v>
      </x:c>
      <x:c r="Z432" s="18" t="n">
        <x:v>4.6</x:v>
      </x:c>
      <x:c r="AA432" t="n">
        <x:v>0</x:v>
      </x:c>
    </x:row>
    <x:row r="433">
      <x:c r="A433" t="str">
        <x:v>A-c16b88</x:v>
      </x:c>
      <x:c r="B433" t="str">
        <x:v>Company_431</x:v>
      </x:c>
      <x:c r="C433" t="str">
        <x:v>HealthTech</x:v>
      </x:c>
      <x:c r="D433" t="str">
        <x:v>US</x:v>
      </x:c>
      <x:c r="E433" s="14" t="n">
        <x:v>45262</x:v>
      </x:c>
      <x:c r="F433" t="str">
        <x:v>2023-12</x:v>
      </x:c>
      <x:c r="G433" t="str">
        <x:v>event</x:v>
      </x:c>
      <x:c r="H433" t="str">
        <x:v>Enterprise</x:v>
      </x:c>
      <x:c r="I433" t="n">
        <x:v>23</x:v>
      </x:c>
      <x:c r="J433" s="1" t="b">
        <x:v>0</x:v>
      </x:c>
      <x:c r="K433" t="str">
        <x:v>Active</x:v>
      </x:c>
      <x:c r="L433" t="n">
        <x:v>395</x:v>
      </x:c>
      <x:c r="M433" t="str"/>
      <x:c r="N433" t="n">
        <x:v>1</x:v>
      </x:c>
      <x:c r="O433" t="n">
        <x:v>9</x:v>
      </x:c>
      <x:c r="P433" s="16" t="n">
        <x:v>20338</x:v>
      </x:c>
      <x:c r="Q433" t="n">
        <x:v>2</x:v>
      </x:c>
      <x:c r="R433" t="n">
        <x:v>0</x:v>
      </x:c>
      <x:c r="S433" t="n">
        <x:v>457</x:v>
      </x:c>
      <x:c r="T433" s="18" t="n">
        <x:v>43.04416666666667</x:v>
      </x:c>
      <x:c r="U433" t="n">
        <x:v>24</x:v>
      </x:c>
      <x:c r="V433" t="n">
        <x:v>28</x:v>
      </x:c>
      <x:c r="W433" t="n">
        <x:v>3</x:v>
      </x:c>
      <x:c r="X433" s="18" t="n">
        <x:v>48.333333333333336</x:v>
      </x:c>
      <x:c r="Y433" s="18" t="n">
        <x:v>137.66666666666666</x:v>
      </x:c>
      <x:c r="Z433" s="18" t="n">
        <x:v>3</x:v>
      </x:c>
      <x:c r="AA433" t="n">
        <x:v>0</x:v>
      </x:c>
    </x:row>
    <x:row r="434">
      <x:c r="A434" t="str">
        <x:v>A-59f724</x:v>
      </x:c>
      <x:c r="B434" t="str">
        <x:v>Company_432</x:v>
      </x:c>
      <x:c r="C434" t="str">
        <x:v>HealthTech</x:v>
      </x:c>
      <x:c r="D434" t="str">
        <x:v>US</x:v>
      </x:c>
      <x:c r="E434" s="14" t="n">
        <x:v>45233</x:v>
      </x:c>
      <x:c r="F434" t="str">
        <x:v>2023-11</x:v>
      </x:c>
      <x:c r="G434" t="str">
        <x:v>other</x:v>
      </x:c>
      <x:c r="H434" t="str">
        <x:v>Enterprise</x:v>
      </x:c>
      <x:c r="I434" t="n">
        <x:v>3</x:v>
      </x:c>
      <x:c r="J434" s="1" t="b">
        <x:v>1</x:v>
      </x:c>
      <x:c r="K434" t="str">
        <x:v>Active</x:v>
      </x:c>
      <x:c r="L434" t="n">
        <x:v>424</x:v>
      </x:c>
      <x:c r="M434" t="str"/>
      <x:c r="N434" t="n">
        <x:v>0</x:v>
      </x:c>
      <x:c r="O434" t="n">
        <x:v>12</x:v>
      </x:c>
      <x:c r="P434" s="16" t="n">
        <x:v>9773</x:v>
      </x:c>
      <x:c r="Q434" t="n">
        <x:v>2</x:v>
      </x:c>
      <x:c r="R434" t="n">
        <x:v>0</x:v>
      </x:c>
      <x:c r="S434" t="n">
        <x:v>696</x:v>
      </x:c>
      <x:c r="T434" s="18" t="n">
        <x:v>61.58083333333333</x:v>
      </x:c>
      <x:c r="U434" t="n">
        <x:v>47</x:v>
      </x:c>
      <x:c r="V434" t="n">
        <x:v>33</x:v>
      </x:c>
      <x:c r="W434" t="n">
        <x:v>4</x:v>
      </x:c>
      <x:c r="X434" s="18" t="n">
        <x:v>19.25</x:v>
      </x:c>
      <x:c r="Y434" s="18" t="n">
        <x:v>94.5</x:v>
      </x:c>
      <x:c r="Z434" s="18" t="n">
        <x:v>4.25</x:v>
      </x:c>
      <x:c r="AA434" t="n">
        <x:v>0</x:v>
      </x:c>
    </x:row>
    <x:row r="435">
      <x:c r="A435" t="str">
        <x:v>A-87aa7b</x:v>
      </x:c>
      <x:c r="B435" t="str">
        <x:v>Company_433</x:v>
      </x:c>
      <x:c r="C435" t="str">
        <x:v>HealthTech</x:v>
      </x:c>
      <x:c r="D435" t="str">
        <x:v>US</x:v>
      </x:c>
      <x:c r="E435" s="14" t="n">
        <x:v>45428</x:v>
      </x:c>
      <x:c r="F435" t="str">
        <x:v>2024-05</x:v>
      </x:c>
      <x:c r="G435" t="str">
        <x:v>organic</x:v>
      </x:c>
      <x:c r="H435" t="str">
        <x:v>Pro</x:v>
      </x:c>
      <x:c r="I435" t="n">
        <x:v>24</x:v>
      </x:c>
      <x:c r="J435" s="1" t="b">
        <x:v>1</x:v>
      </x:c>
      <x:c r="K435" t="str">
        <x:v>Active</x:v>
      </x:c>
      <x:c r="L435" t="n">
        <x:v>229</x:v>
      </x:c>
      <x:c r="M435" t="str"/>
      <x:c r="N435" t="n">
        <x:v>3</x:v>
      </x:c>
      <x:c r="O435" t="n">
        <x:v>16</x:v>
      </x:c>
      <x:c r="P435" s="16" t="n">
        <x:v>22881</x:v>
      </x:c>
      <x:c r="Q435" t="n">
        <x:v>4</x:v>
      </x:c>
      <x:c r="R435" t="n">
        <x:v>2</x:v>
      </x:c>
      <x:c r="S435" t="n">
        <x:v>742</x:v>
      </x:c>
      <x:c r="T435" s="18" t="n">
        <x:v>58.484722222222224</x:v>
      </x:c>
      <x:c r="U435" t="n">
        <x:v>35</x:v>
      </x:c>
      <x:c r="V435" t="n">
        <x:v>31</x:v>
      </x:c>
      <x:c r="W435" t="n">
        <x:v>3</x:v>
      </x:c>
      <x:c r="X435" s="18" t="n">
        <x:v>27.333333333333332</x:v>
      </x:c>
      <x:c r="Y435" s="18" t="n">
        <x:v>72.66666666666667</x:v>
      </x:c>
      <x:c r="Z435" s="18"/>
      <x:c r="AA435" t="n">
        <x:v>1</x:v>
      </x:c>
    </x:row>
    <x:row r="436">
      <x:c r="A436" t="str">
        <x:v>A-1e6fc3</x:v>
      </x:c>
      <x:c r="B436" t="str">
        <x:v>Company_434</x:v>
      </x:c>
      <x:c r="C436" t="str">
        <x:v>EdTech</x:v>
      </x:c>
      <x:c r="D436" t="str">
        <x:v>FR</x:v>
      </x:c>
      <x:c r="E436" s="14" t="n">
        <x:v>45266</x:v>
      </x:c>
      <x:c r="F436" t="str">
        <x:v>2023-12</x:v>
      </x:c>
      <x:c r="G436" t="str">
        <x:v>other</x:v>
      </x:c>
      <x:c r="H436" t="str">
        <x:v>Pro</x:v>
      </x:c>
      <x:c r="I436" t="n">
        <x:v>1</x:v>
      </x:c>
      <x:c r="J436" s="1" t="b">
        <x:v>0</x:v>
      </x:c>
      <x:c r="K436" t="str">
        <x:v>Active</x:v>
      </x:c>
      <x:c r="L436" t="n">
        <x:v>391</x:v>
      </x:c>
      <x:c r="M436" t="str"/>
      <x:c r="N436" t="n">
        <x:v>1</x:v>
      </x:c>
      <x:c r="O436" t="n">
        <x:v>4</x:v>
      </x:c>
      <x:c r="P436" s="16" t="n">
        <x:v>444</x:v>
      </x:c>
      <x:c r="Q436" t="n">
        <x:v>0</x:v>
      </x:c>
      <x:c r="R436" t="n">
        <x:v>0</x:v>
      </x:c>
      <x:c r="S436" t="n">
        <x:v>244</x:v>
      </x:c>
      <x:c r="T436" s="18" t="n">
        <x:v>23.68722222222222</x:v>
      </x:c>
      <x:c r="U436" t="n">
        <x:v>19</x:v>
      </x:c>
      <x:c r="V436" t="n">
        <x:v>19</x:v>
      </x:c>
      <x:c r="W436" t="n">
        <x:v>5</x:v>
      </x:c>
      <x:c r="X436" s="18" t="n">
        <x:v>23.8</x:v>
      </x:c>
      <x:c r="Y436" s="18" t="n">
        <x:v>88.6</x:v>
      </x:c>
      <x:c r="Z436" s="18" t="n">
        <x:v>3.6666666666666665</x:v>
      </x:c>
      <x:c r="AA436" t="n">
        <x:v>0</x:v>
      </x:c>
    </x:row>
    <x:row r="437">
      <x:c r="A437" t="str">
        <x:v>A-39ddf4</x:v>
      </x:c>
      <x:c r="B437" t="str">
        <x:v>Company_435</x:v>
      </x:c>
      <x:c r="C437" t="str">
        <x:v>EdTech</x:v>
      </x:c>
      <x:c r="D437" t="str">
        <x:v>US</x:v>
      </x:c>
      <x:c r="E437" s="14" t="n">
        <x:v>45631</x:v>
      </x:c>
      <x:c r="F437" t="str">
        <x:v>2024-12</x:v>
      </x:c>
      <x:c r="G437" t="str">
        <x:v>partner</x:v>
      </x:c>
      <x:c r="H437" t="str">
        <x:v>Enterprise</x:v>
      </x:c>
      <x:c r="I437" t="n">
        <x:v>40</x:v>
      </x:c>
      <x:c r="J437" s="1" t="b">
        <x:v>0</x:v>
      </x:c>
      <x:c r="K437" t="str">
        <x:v>Active</x:v>
      </x:c>
      <x:c r="L437" t="n">
        <x:v>26</x:v>
      </x:c>
      <x:c r="M437" t="str"/>
      <x:c r="N437" t="n">
        <x:v>1</x:v>
      </x:c>
      <x:c r="O437" t="n">
        <x:v>9</x:v>
      </x:c>
      <x:c r="P437" s="16" t="n">
        <x:v>33876</x:v>
      </x:c>
      <x:c r="Q437" t="n">
        <x:v>0</x:v>
      </x:c>
      <x:c r="R437" t="n">
        <x:v>0</x:v>
      </x:c>
      <x:c r="S437" t="n">
        <x:v>455</x:v>
      </x:c>
      <x:c r="T437" s="18" t="n">
        <x:v>38.79277777777778</x:v>
      </x:c>
      <x:c r="U437" t="n">
        <x:v>36</x:v>
      </x:c>
      <x:c r="V437" t="n">
        <x:v>27</x:v>
      </x:c>
      <x:c r="W437" t="n">
        <x:v>5</x:v>
      </x:c>
      <x:c r="X437" s="18" t="n">
        <x:v>23</x:v>
      </x:c>
      <x:c r="Y437" s="18" t="n">
        <x:v>76.2</x:v>
      </x:c>
      <x:c r="Z437" s="18" t="n">
        <x:v>4.25</x:v>
      </x:c>
      <x:c r="AA437" t="n">
        <x:v>0</x:v>
      </x:c>
    </x:row>
    <x:row r="438">
      <x:c r="A438" t="str">
        <x:v>A-34ea2f</x:v>
      </x:c>
      <x:c r="B438" t="str">
        <x:v>Company_436</x:v>
      </x:c>
      <x:c r="C438" t="str">
        <x:v>HealthTech</x:v>
      </x:c>
      <x:c r="D438" t="str">
        <x:v>US</x:v>
      </x:c>
      <x:c r="E438" s="14" t="n">
        <x:v>45519</x:v>
      </x:c>
      <x:c r="F438" t="str">
        <x:v>2024-08</x:v>
      </x:c>
      <x:c r="G438" t="str">
        <x:v>organic</x:v>
      </x:c>
      <x:c r="H438" t="str">
        <x:v>Enterprise</x:v>
      </x:c>
      <x:c r="I438" t="n">
        <x:v>8</x:v>
      </x:c>
      <x:c r="J438" s="1" t="b">
        <x:v>0</x:v>
      </x:c>
      <x:c r="K438" t="str">
        <x:v>Churned</x:v>
      </x:c>
      <x:c r="L438" t="n">
        <x:v>65</x:v>
      </x:c>
      <x:c r="M438" t="str">
        <x:v>unknown</x:v>
      </x:c>
      <x:c r="N438" t="n">
        <x:v>2</x:v>
      </x:c>
      <x:c r="O438" t="n">
        <x:v>12</x:v>
      </x:c>
      <x:c r="P438" s="16" t="n">
        <x:v>10404</x:v>
      </x:c>
      <x:c r="Q438" t="n">
        <x:v>3</x:v>
      </x:c>
      <x:c r="R438" t="n">
        <x:v>0</x:v>
      </x:c>
      <x:c r="S438" t="n">
        <x:v>550</x:v>
      </x:c>
      <x:c r="T438" s="18" t="n">
        <x:v>48.65472222222222</x:v>
      </x:c>
      <x:c r="U438" t="n">
        <x:v>30</x:v>
      </x:c>
      <x:c r="V438" t="n">
        <x:v>29</x:v>
      </x:c>
      <x:c r="W438" t="n">
        <x:v>8</x:v>
      </x:c>
      <x:c r="X438" s="18" t="n">
        <x:v>35.25</x:v>
      </x:c>
      <x:c r="Y438" s="18" t="n">
        <x:v>65.625</x:v>
      </x:c>
      <x:c r="Z438" s="18" t="n">
        <x:v>3.8</x:v>
      </x:c>
      <x:c r="AA438" t="n">
        <x:v>0</x:v>
      </x:c>
    </x:row>
    <x:row r="439">
      <x:c r="A439" t="str">
        <x:v>A-716841</x:v>
      </x:c>
      <x:c r="B439" t="str">
        <x:v>Company_437</x:v>
      </x:c>
      <x:c r="C439" t="str">
        <x:v>FinTech</x:v>
      </x:c>
      <x:c r="D439" t="str">
        <x:v>US</x:v>
      </x:c>
      <x:c r="E439" s="14" t="n">
        <x:v>45418</x:v>
      </x:c>
      <x:c r="F439" t="str">
        <x:v>2024-05</x:v>
      </x:c>
      <x:c r="G439" t="str">
        <x:v>other</x:v>
      </x:c>
      <x:c r="H439" t="str">
        <x:v>Pro</x:v>
      </x:c>
      <x:c r="I439" t="n">
        <x:v>45</x:v>
      </x:c>
      <x:c r="J439" s="1" t="b">
        <x:v>0</x:v>
      </x:c>
      <x:c r="K439" t="str">
        <x:v>Active</x:v>
      </x:c>
      <x:c r="L439" t="n">
        <x:v>239</x:v>
      </x:c>
      <x:c r="M439" t="str"/>
      <x:c r="N439" t="n">
        <x:v>1</x:v>
      </x:c>
      <x:c r="O439" t="n">
        <x:v>8</x:v>
      </x:c>
      <x:c r="P439" s="16" t="n">
        <x:v>26234</x:v>
      </x:c>
      <x:c r="Q439" t="n">
        <x:v>0</x:v>
      </x:c>
      <x:c r="R439" t="n">
        <x:v>0</x:v>
      </x:c>
      <x:c r="S439" t="n">
        <x:v>344</x:v>
      </x:c>
      <x:c r="T439" s="18" t="n">
        <x:v>30.878055555555555</x:v>
      </x:c>
      <x:c r="U439" t="n">
        <x:v>13</x:v>
      </x:c>
      <x:c r="V439" t="n">
        <x:v>26</x:v>
      </x:c>
      <x:c r="W439" t="n">
        <x:v>5</x:v>
      </x:c>
      <x:c r="X439" s="18" t="n">
        <x:v>29.8</x:v>
      </x:c>
      <x:c r="Y439" s="18" t="n">
        <x:v>112.8</x:v>
      </x:c>
      <x:c r="Z439" s="18" t="n">
        <x:v>4</x:v>
      </x:c>
      <x:c r="AA439" t="n">
        <x:v>0</x:v>
      </x:c>
    </x:row>
    <x:row r="440">
      <x:c r="A440" t="str">
        <x:v>A-558c72</x:v>
      </x:c>
      <x:c r="B440" t="str">
        <x:v>Company_438</x:v>
      </x:c>
      <x:c r="C440" t="str">
        <x:v>FinTech</x:v>
      </x:c>
      <x:c r="D440" t="str">
        <x:v>US</x:v>
      </x:c>
      <x:c r="E440" s="14" t="n">
        <x:v>45078</x:v>
      </x:c>
      <x:c r="F440" t="str">
        <x:v>2023-06</x:v>
      </x:c>
      <x:c r="G440" t="str">
        <x:v>organic</x:v>
      </x:c>
      <x:c r="H440" t="str">
        <x:v>Basic</x:v>
      </x:c>
      <x:c r="I440" t="n">
        <x:v>12</x:v>
      </x:c>
      <x:c r="J440" s="1" t="b">
        <x:v>0</x:v>
      </x:c>
      <x:c r="K440" t="str">
        <x:v>Active</x:v>
      </x:c>
      <x:c r="L440" t="n">
        <x:v>579</x:v>
      </x:c>
      <x:c r="M440" t="str"/>
      <x:c r="N440" t="n">
        <x:v>1</x:v>
      </x:c>
      <x:c r="O440" t="n">
        <x:v>7</x:v>
      </x:c>
      <x:c r="P440" s="16" t="n">
        <x:v>6783</x:v>
      </x:c>
      <x:c r="Q440" t="n">
        <x:v>1</x:v>
      </x:c>
      <x:c r="R440" t="n">
        <x:v>0</x:v>
      </x:c>
      <x:c r="S440" t="n">
        <x:v>296</x:v>
      </x:c>
      <x:c r="T440" s="18" t="n">
        <x:v>23.204722222222223</x:v>
      </x:c>
      <x:c r="U440" t="n">
        <x:v>16</x:v>
      </x:c>
      <x:c r="V440" t="n">
        <x:v>19</x:v>
      </x:c>
      <x:c r="W440" t="n">
        <x:v>4</x:v>
      </x:c>
      <x:c r="X440" s="18" t="n">
        <x:v>64.25</x:v>
      </x:c>
      <x:c r="Y440" s="18" t="n">
        <x:v>79.25</x:v>
      </x:c>
      <x:c r="Z440" s="18" t="n">
        <x:v>4.5</x:v>
      </x:c>
      <x:c r="AA440" t="n">
        <x:v>1</x:v>
      </x:c>
    </x:row>
    <x:row r="441">
      <x:c r="A441" t="str">
        <x:v>A-b11cd0</x:v>
      </x:c>
      <x:c r="B441" t="str">
        <x:v>Company_439</x:v>
      </x:c>
      <x:c r="C441" t="str">
        <x:v>DevTools</x:v>
      </x:c>
      <x:c r="D441" t="str">
        <x:v>US</x:v>
      </x:c>
      <x:c r="E441" s="14" t="n">
        <x:v>44946</x:v>
      </x:c>
      <x:c r="F441" t="str">
        <x:v>2023-01</x:v>
      </x:c>
      <x:c r="G441" t="str">
        <x:v>ads</x:v>
      </x:c>
      <x:c r="H441" t="str">
        <x:v>Pro</x:v>
      </x:c>
      <x:c r="I441" t="n">
        <x:v>26</x:v>
      </x:c>
      <x:c r="J441" s="1" t="b">
        <x:v>1</x:v>
      </x:c>
      <x:c r="K441" t="str">
        <x:v>Churned</x:v>
      </x:c>
      <x:c r="L441" t="n">
        <x:v>711</x:v>
      </x:c>
      <x:c r="M441" t="str"/>
      <x:c r="N441" t="n">
        <x:v>0</x:v>
      </x:c>
      <x:c r="O441" t="n">
        <x:v>6</x:v>
      </x:c>
      <x:c r="P441" s="16" t="n">
        <x:v>4312</x:v>
      </x:c>
      <x:c r="Q441" t="n">
        <x:v>0</x:v>
      </x:c>
      <x:c r="R441" t="n">
        <x:v>0</x:v>
      </x:c>
      <x:c r="S441" t="n">
        <x:v>278</x:v>
      </x:c>
      <x:c r="T441" s="18" t="n">
        <x:v>23.808611111111112</x:v>
      </x:c>
      <x:c r="U441" t="n">
        <x:v>16</x:v>
      </x:c>
      <x:c r="V441" t="n">
        <x:v>21</x:v>
      </x:c>
      <x:c r="W441" t="n">
        <x:v>4</x:v>
      </x:c>
      <x:c r="X441" s="18" t="n">
        <x:v>38.5</x:v>
      </x:c>
      <x:c r="Y441" s="18" t="n">
        <x:v>140.75</x:v>
      </x:c>
      <x:c r="Z441" s="18" t="n">
        <x:v>4</x:v>
      </x:c>
      <x:c r="AA441" t="n">
        <x:v>0</x:v>
      </x:c>
    </x:row>
    <x:row r="442">
      <x:c r="A442" t="str">
        <x:v>A-cc1d8d</x:v>
      </x:c>
      <x:c r="B442" t="str">
        <x:v>Company_440</x:v>
      </x:c>
      <x:c r="C442" t="str">
        <x:v>FinTech</x:v>
      </x:c>
      <x:c r="D442" t="str">
        <x:v>US</x:v>
      </x:c>
      <x:c r="E442" s="14" t="n">
        <x:v>45634</x:v>
      </x:c>
      <x:c r="F442" t="str">
        <x:v>2024-12</x:v>
      </x:c>
      <x:c r="G442" t="str">
        <x:v>other</x:v>
      </x:c>
      <x:c r="H442" t="str">
        <x:v>Pro</x:v>
      </x:c>
      <x:c r="I442" t="n">
        <x:v>5</x:v>
      </x:c>
      <x:c r="J442" s="1" t="b">
        <x:v>0</x:v>
      </x:c>
      <x:c r="K442" t="str">
        <x:v>Active</x:v>
      </x:c>
      <x:c r="L442" t="n">
        <x:v>23</x:v>
      </x:c>
      <x:c r="M442" t="str"/>
      <x:c r="N442" t="n">
        <x:v>2</x:v>
      </x:c>
      <x:c r="O442" t="n">
        <x:v>13</x:v>
      </x:c>
      <x:c r="P442" s="16" t="n">
        <x:v>8947</x:v>
      </x:c>
      <x:c r="Q442" t="n">
        <x:v>1</x:v>
      </x:c>
      <x:c r="R442" t="n">
        <x:v>1</x:v>
      </x:c>
      <x:c r="S442" t="n">
        <x:v>618</x:v>
      </x:c>
      <x:c r="T442" s="18" t="n">
        <x:v>56.768055555555556</x:v>
      </x:c>
      <x:c r="U442" t="n">
        <x:v>48</x:v>
      </x:c>
      <x:c r="V442" t="n">
        <x:v>33</x:v>
      </x:c>
      <x:c r="W442" t="n">
        <x:v>5</x:v>
      </x:c>
      <x:c r="X442" s="18" t="n">
        <x:v>30.2</x:v>
      </x:c>
      <x:c r="Y442" s="18" t="n">
        <x:v>99.2</x:v>
      </x:c>
      <x:c r="Z442" s="18" t="n">
        <x:v>4.5</x:v>
      </x:c>
      <x:c r="AA442" t="n">
        <x:v>0</x:v>
      </x:c>
    </x:row>
    <x:row r="443">
      <x:c r="A443" t="str">
        <x:v>A-7f4db3</x:v>
      </x:c>
      <x:c r="B443" t="str">
        <x:v>Company_441</x:v>
      </x:c>
      <x:c r="C443" t="str">
        <x:v>FinTech</x:v>
      </x:c>
      <x:c r="D443" t="str">
        <x:v>US</x:v>
      </x:c>
      <x:c r="E443" s="14" t="n">
        <x:v>44990</x:v>
      </x:c>
      <x:c r="F443" t="str">
        <x:v>2023-03</x:v>
      </x:c>
      <x:c r="G443" t="str">
        <x:v>other</x:v>
      </x:c>
      <x:c r="H443" t="str">
        <x:v>Pro</x:v>
      </x:c>
      <x:c r="I443" t="n">
        <x:v>4</x:v>
      </x:c>
      <x:c r="J443" s="1" t="b">
        <x:v>0</x:v>
      </x:c>
      <x:c r="K443" t="str">
        <x:v>Active</x:v>
      </x:c>
      <x:c r="L443" t="n">
        <x:v>667</x:v>
      </x:c>
      <x:c r="M443" t="str"/>
      <x:c r="N443" t="n">
        <x:v>1</x:v>
      </x:c>
      <x:c r="O443" t="n">
        <x:v>15</x:v>
      </x:c>
      <x:c r="P443" s="16" t="n">
        <x:v>21304</x:v>
      </x:c>
      <x:c r="Q443" t="n">
        <x:v>0</x:v>
      </x:c>
      <x:c r="R443" t="n">
        <x:v>1</x:v>
      </x:c>
      <x:c r="S443" t="n">
        <x:v>844</x:v>
      </x:c>
      <x:c r="T443" s="18" t="n">
        <x:v>77.22222222222223</x:v>
      </x:c>
      <x:c r="U443" t="n">
        <x:v>46</x:v>
      </x:c>
      <x:c r="V443" t="n">
        <x:v>36</x:v>
      </x:c>
      <x:c r="W443" t="n">
        <x:v>5</x:v>
      </x:c>
      <x:c r="X443" s="18" t="n">
        <x:v>16.6</x:v>
      </x:c>
      <x:c r="Y443" s="18" t="n">
        <x:v>91.4</x:v>
      </x:c>
      <x:c r="Z443" s="18" t="n">
        <x:v>3.25</x:v>
      </x:c>
      <x:c r="AA443" t="n">
        <x:v>1</x:v>
      </x:c>
    </x:row>
    <x:row r="444">
      <x:c r="A444" t="str">
        <x:v>A-db5e9e</x:v>
      </x:c>
      <x:c r="B444" t="str">
        <x:v>Company_442</x:v>
      </x:c>
      <x:c r="C444" t="str">
        <x:v>DevTools</x:v>
      </x:c>
      <x:c r="D444" t="str">
        <x:v>US</x:v>
      </x:c>
      <x:c r="E444" s="14" t="n">
        <x:v>45605</x:v>
      </x:c>
      <x:c r="F444" t="str">
        <x:v>2024-11</x:v>
      </x:c>
      <x:c r="G444" t="str">
        <x:v>partner</x:v>
      </x:c>
      <x:c r="H444" t="str">
        <x:v>Basic</x:v>
      </x:c>
      <x:c r="I444" t="n">
        <x:v>4</x:v>
      </x:c>
      <x:c r="J444" s="1" t="b">
        <x:v>0</x:v>
      </x:c>
      <x:c r="K444" t="str">
        <x:v>Active</x:v>
      </x:c>
      <x:c r="L444" t="n">
        <x:v>52</x:v>
      </x:c>
      <x:c r="M444" t="str"/>
      <x:c r="N444" t="n">
        <x:v>1</x:v>
      </x:c>
      <x:c r="O444" t="n">
        <x:v>8</x:v>
      </x:c>
      <x:c r="P444" s="16" t="n">
        <x:v>5868</x:v>
      </x:c>
      <x:c r="Q444" t="n">
        <x:v>0</x:v>
      </x:c>
      <x:c r="R444" t="n">
        <x:v>1</x:v>
      </x:c>
      <x:c r="S444" t="n">
        <x:v>586</x:v>
      </x:c>
      <x:c r="T444" s="18" t="n">
        <x:v>47.459722222222226</x:v>
      </x:c>
      <x:c r="U444" t="n">
        <x:v>27</x:v>
      </x:c>
      <x:c r="V444" t="n">
        <x:v>29</x:v>
      </x:c>
      <x:c r="W444" t="n">
        <x:v>2</x:v>
      </x:c>
      <x:c r="X444" s="18" t="n">
        <x:v>66</x:v>
      </x:c>
      <x:c r="Y444" s="18" t="n">
        <x:v>97.5</x:v>
      </x:c>
      <x:c r="Z444" s="18" t="n">
        <x:v>5</x:v>
      </x:c>
      <x:c r="AA444" t="n">
        <x:v>0</x:v>
      </x:c>
    </x:row>
    <x:row r="445">
      <x:c r="A445" t="str">
        <x:v>A-cc102e</x:v>
      </x:c>
      <x:c r="B445" t="str">
        <x:v>Company_443</x:v>
      </x:c>
      <x:c r="C445" t="str">
        <x:v>HealthTech</x:v>
      </x:c>
      <x:c r="D445" t="str">
        <x:v>US</x:v>
      </x:c>
      <x:c r="E445" s="14" t="n">
        <x:v>45397</x:v>
      </x:c>
      <x:c r="F445" t="str">
        <x:v>2024-04</x:v>
      </x:c>
      <x:c r="G445" t="str">
        <x:v>partner</x:v>
      </x:c>
      <x:c r="H445" t="str">
        <x:v>Enterprise</x:v>
      </x:c>
      <x:c r="I445" t="n">
        <x:v>13</x:v>
      </x:c>
      <x:c r="J445" s="1" t="b">
        <x:v>0</x:v>
      </x:c>
      <x:c r="K445" t="str">
        <x:v>Active</x:v>
      </x:c>
      <x:c r="L445" t="n">
        <x:v>260</x:v>
      </x:c>
      <x:c r="M445" t="str"/>
      <x:c r="N445" t="n">
        <x:v>3</x:v>
      </x:c>
      <x:c r="O445" t="n">
        <x:v>10</x:v>
      </x:c>
      <x:c r="P445" s="16" t="n">
        <x:v>8005</x:v>
      </x:c>
      <x:c r="Q445" t="n">
        <x:v>1</x:v>
      </x:c>
      <x:c r="R445" t="n">
        <x:v>0</x:v>
      </x:c>
      <x:c r="S445" t="n">
        <x:v>394</x:v>
      </x:c>
      <x:c r="T445" s="18" t="n">
        <x:v>33.76777777777778</x:v>
      </x:c>
      <x:c r="U445" t="n">
        <x:v>39</x:v>
      </x:c>
      <x:c r="V445" t="n">
        <x:v>26</x:v>
      </x:c>
      <x:c r="W445" t="n">
        <x:v>4</x:v>
      </x:c>
      <x:c r="X445" s="18" t="n">
        <x:v>33.25</x:v>
      </x:c>
      <x:c r="Y445" s="18" t="n">
        <x:v>109</x:v>
      </x:c>
      <x:c r="Z445" s="18" t="n">
        <x:v>4.333333333333333</x:v>
      </x:c>
      <x:c r="AA445" t="n">
        <x:v>0</x:v>
      </x:c>
    </x:row>
    <x:row r="446">
      <x:c r="A446" t="str">
        <x:v>A-82d8a6</x:v>
      </x:c>
      <x:c r="B446" t="str">
        <x:v>Company_444</x:v>
      </x:c>
      <x:c r="C446" t="str">
        <x:v>Cybersecurity</x:v>
      </x:c>
      <x:c r="D446" t="str">
        <x:v>UK</x:v>
      </x:c>
      <x:c r="E446" s="14" t="n">
        <x:v>45624</x:v>
      </x:c>
      <x:c r="F446" t="str">
        <x:v>2024-11</x:v>
      </x:c>
      <x:c r="G446" t="str">
        <x:v>ads</x:v>
      </x:c>
      <x:c r="H446" t="str">
        <x:v>Basic</x:v>
      </x:c>
      <x:c r="I446" t="n">
        <x:v>5</x:v>
      </x:c>
      <x:c r="J446" s="1" t="b">
        <x:v>0</x:v>
      </x:c>
      <x:c r="K446" t="str">
        <x:v>Active</x:v>
      </x:c>
      <x:c r="L446" t="n">
        <x:v>33</x:v>
      </x:c>
      <x:c r="M446" t="str"/>
      <x:c r="N446" t="n">
        <x:v>1</x:v>
      </x:c>
      <x:c r="O446" t="n">
        <x:v>17</x:v>
      </x:c>
      <x:c r="P446" s="16" t="n">
        <x:v>27626</x:v>
      </x:c>
      <x:c r="Q446" t="n">
        <x:v>5</x:v>
      </x:c>
      <x:c r="R446" t="n">
        <x:v>2</x:v>
      </x:c>
      <x:c r="S446" t="n">
        <x:v>661</x:v>
      </x:c>
      <x:c r="T446" s="18" t="n">
        <x:v>55.14944444444444</x:v>
      </x:c>
      <x:c r="U446" t="n">
        <x:v>38</x:v>
      </x:c>
      <x:c r="V446" t="n">
        <x:v>32</x:v>
      </x:c>
      <x:c r="W446" t="n">
        <x:v>5</x:v>
      </x:c>
      <x:c r="X446" s="18" t="n">
        <x:v>42.2</x:v>
      </x:c>
      <x:c r="Y446" s="18" t="n">
        <x:v>112</x:v>
      </x:c>
      <x:c r="Z446" s="18" t="n">
        <x:v>3.5</x:v>
      </x:c>
      <x:c r="AA446" t="n">
        <x:v>0</x:v>
      </x:c>
    </x:row>
    <x:row r="447">
      <x:c r="A447" t="str">
        <x:v>A-dec005</x:v>
      </x:c>
      <x:c r="B447" t="str">
        <x:v>Company_445</x:v>
      </x:c>
      <x:c r="C447" t="str">
        <x:v>HealthTech</x:v>
      </x:c>
      <x:c r="D447" t="str">
        <x:v>US</x:v>
      </x:c>
      <x:c r="E447" s="14" t="n">
        <x:v>45212</x:v>
      </x:c>
      <x:c r="F447" t="str">
        <x:v>2023-10</x:v>
      </x:c>
      <x:c r="G447" t="str">
        <x:v>partner</x:v>
      </x:c>
      <x:c r="H447" t="str">
        <x:v>Pro</x:v>
      </x:c>
      <x:c r="I447" t="n">
        <x:v>21</x:v>
      </x:c>
      <x:c r="J447" s="1" t="b">
        <x:v>0</x:v>
      </x:c>
      <x:c r="K447" t="str">
        <x:v>Active</x:v>
      </x:c>
      <x:c r="L447" t="n">
        <x:v>445</x:v>
      </x:c>
      <x:c r="M447" t="str"/>
      <x:c r="N447" t="n">
        <x:v>1</x:v>
      </x:c>
      <x:c r="O447" t="n">
        <x:v>10</x:v>
      </x:c>
      <x:c r="P447" s="16" t="n">
        <x:v>19998</x:v>
      </x:c>
      <x:c r="Q447" t="n">
        <x:v>1</x:v>
      </x:c>
      <x:c r="R447" t="n">
        <x:v>0</x:v>
      </x:c>
      <x:c r="S447" t="n">
        <x:v>475</x:v>
      </x:c>
      <x:c r="T447" s="18" t="n">
        <x:v>40.33694444444444</x:v>
      </x:c>
      <x:c r="U447" t="n">
        <x:v>44</x:v>
      </x:c>
      <x:c r="V447" t="n">
        <x:v>31</x:v>
      </x:c>
      <x:c r="W447" t="n">
        <x:v>2</x:v>
      </x:c>
      <x:c r="X447" s="18" t="n">
        <x:v>59</x:v>
      </x:c>
      <x:c r="Y447" s="18" t="n">
        <x:v>152</x:v>
      </x:c>
      <x:c r="Z447" s="18" t="n">
        <x:v>3</x:v>
      </x:c>
      <x:c r="AA447" t="n">
        <x:v>0</x:v>
      </x:c>
    </x:row>
    <x:row r="448">
      <x:c r="A448" t="str">
        <x:v>A-5790f4</x:v>
      </x:c>
      <x:c r="B448" t="str">
        <x:v>Company_446</x:v>
      </x:c>
      <x:c r="C448" t="str">
        <x:v>FinTech</x:v>
      </x:c>
      <x:c r="D448" t="str">
        <x:v>UK</x:v>
      </x:c>
      <x:c r="E448" s="14" t="n">
        <x:v>45648</x:v>
      </x:c>
      <x:c r="F448" t="str">
        <x:v>2024-12</x:v>
      </x:c>
      <x:c r="G448" t="str">
        <x:v>event</x:v>
      </x:c>
      <x:c r="H448" t="str">
        <x:v>Pro</x:v>
      </x:c>
      <x:c r="I448" t="n">
        <x:v>1</x:v>
      </x:c>
      <x:c r="J448" s="1" t="b">
        <x:v>1</x:v>
      </x:c>
      <x:c r="K448" t="str">
        <x:v>Active</x:v>
      </x:c>
      <x:c r="L448" t="n">
        <x:v>9</x:v>
      </x:c>
      <x:c r="M448" t="str"/>
      <x:c r="N448" t="n">
        <x:v>3</x:v>
      </x:c>
      <x:c r="O448" t="n">
        <x:v>6</x:v>
      </x:c>
      <x:c r="P448" s="16" t="n">
        <x:v>17334</x:v>
      </x:c>
      <x:c r="Q448" t="n">
        <x:v>0</x:v>
      </x:c>
      <x:c r="R448" t="n">
        <x:v>0</x:v>
      </x:c>
      <x:c r="S448" t="n">
        <x:v>321</x:v>
      </x:c>
      <x:c r="T448" s="18" t="n">
        <x:v>26.635555555555555</x:v>
      </x:c>
      <x:c r="U448" t="n">
        <x:v>26</x:v>
      </x:c>
      <x:c r="V448" t="n">
        <x:v>25</x:v>
      </x:c>
      <x:c r="W448" t="n">
        <x:v>4</x:v>
      </x:c>
      <x:c r="X448" s="18" t="n">
        <x:v>44</x:v>
      </x:c>
      <x:c r="Y448" s="18" t="n">
        <x:v>57.25</x:v>
      </x:c>
      <x:c r="Z448" s="18" t="n">
        <x:v>4</x:v>
      </x:c>
      <x:c r="AA448" t="n">
        <x:v>1</x:v>
      </x:c>
    </x:row>
    <x:row r="449">
      <x:c r="A449" t="str">
        <x:v>A-7c83a1</x:v>
      </x:c>
      <x:c r="B449" t="str">
        <x:v>Company_447</x:v>
      </x:c>
      <x:c r="C449" t="str">
        <x:v>Cybersecurity</x:v>
      </x:c>
      <x:c r="D449" t="str">
        <x:v>US</x:v>
      </x:c>
      <x:c r="E449" s="14" t="n">
        <x:v>45418</x:v>
      </x:c>
      <x:c r="F449" t="str">
        <x:v>2024-05</x:v>
      </x:c>
      <x:c r="G449" t="str">
        <x:v>partner</x:v>
      </x:c>
      <x:c r="H449" t="str">
        <x:v>Pro</x:v>
      </x:c>
      <x:c r="I449" t="n">
        <x:v>12</x:v>
      </x:c>
      <x:c r="J449" s="1" t="b">
        <x:v>0</x:v>
      </x:c>
      <x:c r="K449" t="str">
        <x:v>Active</x:v>
      </x:c>
      <x:c r="L449" t="n">
        <x:v>239</x:v>
      </x:c>
      <x:c r="M449" t="str"/>
      <x:c r="N449" t="n">
        <x:v>1</x:v>
      </x:c>
      <x:c r="O449" t="n">
        <x:v>12</x:v>
      </x:c>
      <x:c r="P449" s="16" t="n">
        <x:v>10741</x:v>
      </x:c>
      <x:c r="Q449" t="n">
        <x:v>0</x:v>
      </x:c>
      <x:c r="R449" t="n">
        <x:v>1</x:v>
      </x:c>
      <x:c r="S449" t="n">
        <x:v>632</x:v>
      </x:c>
      <x:c r="T449" s="18" t="n">
        <x:v>56.530277777777776</x:v>
      </x:c>
      <x:c r="U449" t="n">
        <x:v>23</x:v>
      </x:c>
      <x:c r="V449" t="n">
        <x:v>29</x:v>
      </x:c>
      <x:c r="W449" t="n">
        <x:v>4</x:v>
      </x:c>
      <x:c r="X449" s="18" t="n">
        <x:v>42</x:v>
      </x:c>
      <x:c r="Y449" s="18" t="n">
        <x:v>86.25</x:v>
      </x:c>
      <x:c r="Z449" s="18" t="n">
        <x:v>4</x:v>
      </x:c>
      <x:c r="AA449" t="n">
        <x:v>0</x:v>
      </x:c>
    </x:row>
    <x:row r="450">
      <x:c r="A450" t="str">
        <x:v>A-297a2d</x:v>
      </x:c>
      <x:c r="B450" t="str">
        <x:v>Company_448</x:v>
      </x:c>
      <x:c r="C450" t="str">
        <x:v>HealthTech</x:v>
      </x:c>
      <x:c r="D450" t="str">
        <x:v>UK</x:v>
      </x:c>
      <x:c r="E450" s="14" t="n">
        <x:v>45051</x:v>
      </x:c>
      <x:c r="F450" t="str">
        <x:v>2023-05</x:v>
      </x:c>
      <x:c r="G450" t="str">
        <x:v>event</x:v>
      </x:c>
      <x:c r="H450" t="str">
        <x:v>Pro</x:v>
      </x:c>
      <x:c r="I450" t="n">
        <x:v>27</x:v>
      </x:c>
      <x:c r="J450" s="1" t="b">
        <x:v>0</x:v>
      </x:c>
      <x:c r="K450" t="str">
        <x:v>Active</x:v>
      </x:c>
      <x:c r="L450" t="n">
        <x:v>606</x:v>
      </x:c>
      <x:c r="M450" t="str"/>
      <x:c r="N450" t="n">
        <x:v>0</x:v>
      </x:c>
      <x:c r="O450" t="n">
        <x:v>5</x:v>
      </x:c>
      <x:c r="P450" s="16" t="n">
        <x:v>14373</x:v>
      </x:c>
      <x:c r="Q450" t="n">
        <x:v>3</x:v>
      </x:c>
      <x:c r="R450" t="n">
        <x:v>0</x:v>
      </x:c>
      <x:c r="S450" t="n">
        <x:v>244</x:v>
      </x:c>
      <x:c r="T450" s="18" t="n">
        <x:v>19.558888888888887</x:v>
      </x:c>
      <x:c r="U450" t="n">
        <x:v>22</x:v>
      </x:c>
      <x:c r="V450" t="n">
        <x:v>23</x:v>
      </x:c>
      <x:c r="W450" t="n">
        <x:v>2</x:v>
      </x:c>
      <x:c r="X450" s="18" t="n">
        <x:v>32.5</x:v>
      </x:c>
      <x:c r="Y450" s="18" t="n">
        <x:v>84.5</x:v>
      </x:c>
      <x:c r="Z450" s="18" t="n">
        <x:v>3</x:v>
      </x:c>
      <x:c r="AA450" t="n">
        <x:v>0</x:v>
      </x:c>
    </x:row>
    <x:row r="451">
      <x:c r="A451" t="str">
        <x:v>A-4c56c9</x:v>
      </x:c>
      <x:c r="B451" t="str">
        <x:v>Company_449</x:v>
      </x:c>
      <x:c r="C451" t="str">
        <x:v>FinTech</x:v>
      </x:c>
      <x:c r="D451" t="str">
        <x:v>US</x:v>
      </x:c>
      <x:c r="E451" s="14" t="n">
        <x:v>45280</x:v>
      </x:c>
      <x:c r="F451" t="str">
        <x:v>2023-12</x:v>
      </x:c>
      <x:c r="G451" t="str">
        <x:v>partner</x:v>
      </x:c>
      <x:c r="H451" t="str">
        <x:v>Enterprise</x:v>
      </x:c>
      <x:c r="I451" t="n">
        <x:v>9</x:v>
      </x:c>
      <x:c r="J451" s="1" t="b">
        <x:v>0</x:v>
      </x:c>
      <x:c r="K451" t="str">
        <x:v>Churned</x:v>
      </x:c>
      <x:c r="L451" t="n">
        <x:v>107</x:v>
      </x:c>
      <x:c r="M451" t="str">
        <x:v>budget</x:v>
      </x:c>
      <x:c r="N451" t="n">
        <x:v>1</x:v>
      </x:c>
      <x:c r="O451" t="n">
        <x:v>13</x:v>
      </x:c>
      <x:c r="P451" s="16" t="n">
        <x:v>16256</x:v>
      </x:c>
      <x:c r="Q451" t="n">
        <x:v>0</x:v>
      </x:c>
      <x:c r="R451" t="n">
        <x:v>0</x:v>
      </x:c>
      <x:c r="S451" t="n">
        <x:v>623</x:v>
      </x:c>
      <x:c r="T451" s="18" t="n">
        <x:v>54.424166666666665</x:v>
      </x:c>
      <x:c r="U451" t="n">
        <x:v>38</x:v>
      </x:c>
      <x:c r="V451" t="n">
        <x:v>34</x:v>
      </x:c>
      <x:c r="W451" t="n">
        <x:v>5</x:v>
      </x:c>
      <x:c r="X451" s="18" t="n">
        <x:v>38.6</x:v>
      </x:c>
      <x:c r="Y451" s="18" t="n">
        <x:v>68.2</x:v>
      </x:c>
      <x:c r="Z451" s="18" t="n">
        <x:v>3.75</x:v>
      </x:c>
      <x:c r="AA451" t="n">
        <x:v>0</x:v>
      </x:c>
    </x:row>
    <x:row r="452">
      <x:c r="A452" t="str">
        <x:v>A-cbbe12</x:v>
      </x:c>
      <x:c r="B452" t="str">
        <x:v>Company_450</x:v>
      </x:c>
      <x:c r="C452" t="str">
        <x:v>Cybersecurity</x:v>
      </x:c>
      <x:c r="D452" t="str">
        <x:v>DE</x:v>
      </x:c>
      <x:c r="E452" s="14" t="n">
        <x:v>45007</x:v>
      </x:c>
      <x:c r="F452" t="str">
        <x:v>2023-03</x:v>
      </x:c>
      <x:c r="G452" t="str">
        <x:v>partner</x:v>
      </x:c>
      <x:c r="H452" t="str">
        <x:v>Enterprise</x:v>
      </x:c>
      <x:c r="I452" t="n">
        <x:v>40</x:v>
      </x:c>
      <x:c r="J452" s="1" t="b">
        <x:v>0</x:v>
      </x:c>
      <x:c r="K452" t="str">
        <x:v>Active</x:v>
      </x:c>
      <x:c r="L452" t="n">
        <x:v>650</x:v>
      </x:c>
      <x:c r="M452" t="str"/>
      <x:c r="N452" t="n">
        <x:v>0</x:v>
      </x:c>
      <x:c r="O452" t="n">
        <x:v>6</x:v>
      </x:c>
      <x:c r="P452" s="16" t="n">
        <x:v>12321</x:v>
      </x:c>
      <x:c r="Q452" t="n">
        <x:v>1</x:v>
      </x:c>
      <x:c r="R452" t="n">
        <x:v>1</x:v>
      </x:c>
      <x:c r="S452" t="n">
        <x:v>178</x:v>
      </x:c>
      <x:c r="T452" s="18" t="n">
        <x:v>13.884166666666667</x:v>
      </x:c>
      <x:c r="U452" t="n">
        <x:v>10</x:v>
      </x:c>
      <x:c r="V452" t="n">
        <x:v>14</x:v>
      </x:c>
      <x:c r="W452" t="n">
        <x:v>6</x:v>
      </x:c>
      <x:c r="X452" s="18" t="n">
        <x:v>38</x:v>
      </x:c>
      <x:c r="Y452" s="18" t="n">
        <x:v>74.5</x:v>
      </x:c>
      <x:c r="Z452" s="18" t="n">
        <x:v>4.25</x:v>
      </x:c>
      <x:c r="AA452" t="n">
        <x:v>0</x:v>
      </x:c>
    </x:row>
    <x:row r="453">
      <x:c r="A453" t="str">
        <x:v>A-4a267b</x:v>
      </x:c>
      <x:c r="B453" t="str">
        <x:v>Company_451</x:v>
      </x:c>
      <x:c r="C453" t="str">
        <x:v>FinTech</x:v>
      </x:c>
      <x:c r="D453" t="str">
        <x:v>US</x:v>
      </x:c>
      <x:c r="E453" s="14" t="n">
        <x:v>45417</x:v>
      </x:c>
      <x:c r="F453" t="str">
        <x:v>2024-05</x:v>
      </x:c>
      <x:c r="G453" t="str">
        <x:v>other</x:v>
      </x:c>
      <x:c r="H453" t="str">
        <x:v>Pro</x:v>
      </x:c>
      <x:c r="I453" t="n">
        <x:v>25</x:v>
      </x:c>
      <x:c r="J453" s="1" t="b">
        <x:v>0</x:v>
      </x:c>
      <x:c r="K453" t="str">
        <x:v>Active</x:v>
      </x:c>
      <x:c r="L453" t="n">
        <x:v>240</x:v>
      </x:c>
      <x:c r="M453" t="str"/>
      <x:c r="N453" t="n">
        <x:v>1</x:v>
      </x:c>
      <x:c r="O453" t="n">
        <x:v>10</x:v>
      </x:c>
      <x:c r="P453" s="16" t="n">
        <x:v>22458</x:v>
      </x:c>
      <x:c r="Q453" t="n">
        <x:v>1</x:v>
      </x:c>
      <x:c r="R453" t="n">
        <x:v>1</x:v>
      </x:c>
      <x:c r="S453" t="n">
        <x:v>498</x:v>
      </x:c>
      <x:c r="T453" s="18" t="n">
        <x:v>41.94</x:v>
      </x:c>
      <x:c r="U453" t="n">
        <x:v>22</x:v>
      </x:c>
      <x:c r="V453" t="n">
        <x:v>31</x:v>
      </x:c>
      <x:c r="W453" t="n">
        <x:v>4</x:v>
      </x:c>
      <x:c r="X453" s="18" t="n">
        <x:v>16.25</x:v>
      </x:c>
      <x:c r="Y453" s="18" t="n">
        <x:v>105</x:v>
      </x:c>
      <x:c r="Z453" s="18" t="n">
        <x:v>4.333333333333333</x:v>
      </x:c>
      <x:c r="AA453" t="n">
        <x:v>0</x:v>
      </x:c>
    </x:row>
    <x:row r="454">
      <x:c r="A454" t="str">
        <x:v>A-bcbe98</x:v>
      </x:c>
      <x:c r="B454" t="str">
        <x:v>Company_452</x:v>
      </x:c>
      <x:c r="C454" t="str">
        <x:v>Cybersecurity</x:v>
      </x:c>
      <x:c r="D454" t="str">
        <x:v>US</x:v>
      </x:c>
      <x:c r="E454" s="14" t="n">
        <x:v>45502</x:v>
      </x:c>
      <x:c r="F454" t="str">
        <x:v>2024-07</x:v>
      </x:c>
      <x:c r="G454" t="str">
        <x:v>other</x:v>
      </x:c>
      <x:c r="H454" t="str">
        <x:v>Enterprise</x:v>
      </x:c>
      <x:c r="I454" t="n">
        <x:v>46</x:v>
      </x:c>
      <x:c r="J454" s="1" t="b">
        <x:v>0</x:v>
      </x:c>
      <x:c r="K454" t="str">
        <x:v>Active</x:v>
      </x:c>
      <x:c r="L454" t="n">
        <x:v>155</x:v>
      </x:c>
      <x:c r="M454" t="str"/>
      <x:c r="N454" t="n">
        <x:v>1</x:v>
      </x:c>
      <x:c r="O454" t="n">
        <x:v>11</x:v>
      </x:c>
      <x:c r="P454" s="16" t="n">
        <x:v>21666</x:v>
      </x:c>
      <x:c r="Q454" t="n">
        <x:v>2</x:v>
      </x:c>
      <x:c r="R454" t="n">
        <x:v>1</x:v>
      </x:c>
      <x:c r="S454" t="n">
        <x:v>635</x:v>
      </x:c>
      <x:c r="T454" s="18" t="n">
        <x:v>48.2275</x:v>
      </x:c>
      <x:c r="U454" t="n">
        <x:v>43</x:v>
      </x:c>
      <x:c r="V454" t="n">
        <x:v>34</x:v>
      </x:c>
      <x:c r="W454" t="n">
        <x:v>7</x:v>
      </x:c>
      <x:c r="X454" s="18" t="n">
        <x:v>38.285714285714285</x:v>
      </x:c>
      <x:c r="Y454" s="18" t="n">
        <x:v>61.57142857142857</x:v>
      </x:c>
      <x:c r="Z454" s="18" t="n">
        <x:v>4</x:v>
      </x:c>
      <x:c r="AA454" t="n">
        <x:v>1</x:v>
      </x:c>
    </x:row>
    <x:row r="455">
      <x:c r="A455" t="str">
        <x:v>A-427b69</x:v>
      </x:c>
      <x:c r="B455" t="str">
        <x:v>Company_453</x:v>
      </x:c>
      <x:c r="C455" t="str">
        <x:v>FinTech</x:v>
      </x:c>
      <x:c r="D455" t="str">
        <x:v>US</x:v>
      </x:c>
      <x:c r="E455" s="14" t="n">
        <x:v>45527</x:v>
      </x:c>
      <x:c r="F455" t="str">
        <x:v>2024-08</x:v>
      </x:c>
      <x:c r="G455" t="str">
        <x:v>other</x:v>
      </x:c>
      <x:c r="H455" t="str">
        <x:v>Basic</x:v>
      </x:c>
      <x:c r="I455" t="n">
        <x:v>17</x:v>
      </x:c>
      <x:c r="J455" s="1" t="b">
        <x:v>0</x:v>
      </x:c>
      <x:c r="K455" t="str">
        <x:v>Active</x:v>
      </x:c>
      <x:c r="L455" t="n">
        <x:v>130</x:v>
      </x:c>
      <x:c r="M455" t="str"/>
      <x:c r="N455" t="n">
        <x:v>0</x:v>
      </x:c>
      <x:c r="O455" t="n">
        <x:v>10</x:v>
      </x:c>
      <x:c r="P455" s="16" t="n">
        <x:v>18194</x:v>
      </x:c>
      <x:c r="Q455" t="n">
        <x:v>0</x:v>
      </x:c>
      <x:c r="R455" t="n">
        <x:v>0</x:v>
      </x:c>
      <x:c r="S455" t="n">
        <x:v>698</x:v>
      </x:c>
      <x:c r="T455" s="18" t="n">
        <x:v>59.94555555555556</x:v>
      </x:c>
      <x:c r="U455" t="n">
        <x:v>36</x:v>
      </x:c>
      <x:c r="V455" t="n">
        <x:v>32</x:v>
      </x:c>
      <x:c r="W455" t="n">
        <x:v>2</x:v>
      </x:c>
      <x:c r="X455" s="18" t="n">
        <x:v>31.5</x:v>
      </x:c>
      <x:c r="Y455" s="18" t="n">
        <x:v>109.5</x:v>
      </x:c>
      <x:c r="Z455" s="18" t="n">
        <x:v>3</x:v>
      </x:c>
      <x:c r="AA455" t="n">
        <x:v>0</x:v>
      </x:c>
    </x:row>
    <x:row r="456">
      <x:c r="A456" t="str">
        <x:v>A-0be015</x:v>
      </x:c>
      <x:c r="B456" t="str">
        <x:v>Company_454</x:v>
      </x:c>
      <x:c r="C456" t="str">
        <x:v>FinTech</x:v>
      </x:c>
      <x:c r="D456" t="str">
        <x:v>US</x:v>
      </x:c>
      <x:c r="E456" s="14" t="n">
        <x:v>45580</x:v>
      </x:c>
      <x:c r="F456" t="str">
        <x:v>2024-10</x:v>
      </x:c>
      <x:c r="G456" t="str">
        <x:v>event</x:v>
      </x:c>
      <x:c r="H456" t="str">
        <x:v>Pro</x:v>
      </x:c>
      <x:c r="I456" t="n">
        <x:v>19</x:v>
      </x:c>
      <x:c r="J456" s="1" t="b">
        <x:v>0</x:v>
      </x:c>
      <x:c r="K456" t="str">
        <x:v>Active</x:v>
      </x:c>
      <x:c r="L456" t="n">
        <x:v>77</x:v>
      </x:c>
      <x:c r="M456" t="str"/>
      <x:c r="N456" t="n">
        <x:v>1</x:v>
      </x:c>
      <x:c r="O456" t="n">
        <x:v>5</x:v>
      </x:c>
      <x:c r="P456" s="16" t="n">
        <x:v>817</x:v>
      </x:c>
      <x:c r="Q456" t="n">
        <x:v>0</x:v>
      </x:c>
      <x:c r="R456" t="n">
        <x:v>0</x:v>
      </x:c>
      <x:c r="S456" t="n">
        <x:v>297</x:v>
      </x:c>
      <x:c r="T456" s="18" t="n">
        <x:v>24.50138888888889</x:v>
      </x:c>
      <x:c r="U456" t="n">
        <x:v>13</x:v>
      </x:c>
      <x:c r="V456" t="n">
        <x:v>19</x:v>
      </x:c>
      <x:c r="W456" t="n">
        <x:v>7</x:v>
      </x:c>
      <x:c r="X456" s="18" t="n">
        <x:v>40.285714285714285</x:v>
      </x:c>
      <x:c r="Y456" s="18" t="n">
        <x:v>84.85714285714286</x:v>
      </x:c>
      <x:c r="Z456" s="18" t="n">
        <x:v>4.2</x:v>
      </x:c>
      <x:c r="AA456" t="n">
        <x:v>1</x:v>
      </x:c>
    </x:row>
    <x:row r="457">
      <x:c r="A457" t="str">
        <x:v>A-054577</x:v>
      </x:c>
      <x:c r="B457" t="str">
        <x:v>Company_455</x:v>
      </x:c>
      <x:c r="C457" t="str">
        <x:v>EdTech</x:v>
      </x:c>
      <x:c r="D457" t="str">
        <x:v>UK</x:v>
      </x:c>
      <x:c r="E457" s="14" t="n">
        <x:v>45410</x:v>
      </x:c>
      <x:c r="F457" t="str">
        <x:v>2024-04</x:v>
      </x:c>
      <x:c r="G457" t="str">
        <x:v>ads</x:v>
      </x:c>
      <x:c r="H457" t="str">
        <x:v>Basic</x:v>
      </x:c>
      <x:c r="I457" t="n">
        <x:v>2</x:v>
      </x:c>
      <x:c r="J457" s="1" t="b">
        <x:v>0</x:v>
      </x:c>
      <x:c r="K457" t="str">
        <x:v>Active</x:v>
      </x:c>
      <x:c r="L457" t="n">
        <x:v>247</x:v>
      </x:c>
      <x:c r="M457" t="str"/>
      <x:c r="N457" t="n">
        <x:v>0</x:v>
      </x:c>
      <x:c r="O457" t="n">
        <x:v>16</x:v>
      </x:c>
      <x:c r="P457" s="16" t="n">
        <x:v>44145</x:v>
      </x:c>
      <x:c r="Q457" t="n">
        <x:v>1</x:v>
      </x:c>
      <x:c r="R457" t="n">
        <x:v>1</x:v>
      </x:c>
      <x:c r="S457" t="n">
        <x:v>833</x:v>
      </x:c>
      <x:c r="T457" s="18" t="n">
        <x:v>61.04083333333333</x:v>
      </x:c>
      <x:c r="U457" t="n">
        <x:v>52</x:v>
      </x:c>
      <x:c r="V457" t="n">
        <x:v>36</x:v>
      </x:c>
      <x:c r="W457" t="n">
        <x:v>1</x:v>
      </x:c>
      <x:c r="X457" s="18" t="n">
        <x:v>46</x:v>
      </x:c>
      <x:c r="Y457" s="18" t="n">
        <x:v>70</x:v>
      </x:c>
      <x:c r="Z457" s="18" t="n">
        <x:v>4</x:v>
      </x:c>
      <x:c r="AA457" t="n">
        <x:v>0</x:v>
      </x:c>
    </x:row>
    <x:row r="458">
      <x:c r="A458" t="str">
        <x:v>A-bc87bc</x:v>
      </x:c>
      <x:c r="B458" t="str">
        <x:v>Company_456</x:v>
      </x:c>
      <x:c r="C458" t="str">
        <x:v>FinTech</x:v>
      </x:c>
      <x:c r="D458" t="str">
        <x:v>US</x:v>
      </x:c>
      <x:c r="E458" s="14" t="n">
        <x:v>45490</x:v>
      </x:c>
      <x:c r="F458" t="str">
        <x:v>2024-07</x:v>
      </x:c>
      <x:c r="G458" t="str">
        <x:v>event</x:v>
      </x:c>
      <x:c r="H458" t="str">
        <x:v>Pro</x:v>
      </x:c>
      <x:c r="I458" t="n">
        <x:v>3</x:v>
      </x:c>
      <x:c r="J458" s="1" t="b">
        <x:v>0</x:v>
      </x:c>
      <x:c r="K458" t="str">
        <x:v>Active</x:v>
      </x:c>
      <x:c r="L458" t="n">
        <x:v>167</x:v>
      </x:c>
      <x:c r="M458" t="str"/>
      <x:c r="N458" t="n">
        <x:v>0</x:v>
      </x:c>
      <x:c r="O458" t="n">
        <x:v>8</x:v>
      </x:c>
      <x:c r="P458" s="16" t="n">
        <x:v>11690</x:v>
      </x:c>
      <x:c r="Q458" t="n">
        <x:v>0</x:v>
      </x:c>
      <x:c r="R458" t="n">
        <x:v>0</x:v>
      </x:c>
      <x:c r="S458" t="n">
        <x:v>394</x:v>
      </x:c>
      <x:c r="T458" s="18" t="n">
        <x:v>37.544444444444444</x:v>
      </x:c>
      <x:c r="U458" t="n">
        <x:v>14</x:v>
      </x:c>
      <x:c r="V458" t="n">
        <x:v>24</x:v>
      </x:c>
      <x:c r="W458" t="n">
        <x:v>7</x:v>
      </x:c>
      <x:c r="X458" s="18" t="n">
        <x:v>40.57142857142857</x:v>
      </x:c>
      <x:c r="Y458" s="18" t="n">
        <x:v>112</x:v>
      </x:c>
      <x:c r="Z458" s="18" t="n">
        <x:v>3.75</x:v>
      </x:c>
      <x:c r="AA458" t="n">
        <x:v>0</x:v>
      </x:c>
    </x:row>
    <x:row r="459">
      <x:c r="A459" t="str">
        <x:v>A-0f7d77</x:v>
      </x:c>
      <x:c r="B459" t="str">
        <x:v>Company_457</x:v>
      </x:c>
      <x:c r="C459" t="str">
        <x:v>FinTech</x:v>
      </x:c>
      <x:c r="D459" t="str">
        <x:v>IN</x:v>
      </x:c>
      <x:c r="E459" s="14" t="n">
        <x:v>45593</x:v>
      </x:c>
      <x:c r="F459" t="str">
        <x:v>2024-10</x:v>
      </x:c>
      <x:c r="G459" t="str">
        <x:v>partner</x:v>
      </x:c>
      <x:c r="H459" t="str">
        <x:v>Pro</x:v>
      </x:c>
      <x:c r="I459" t="n">
        <x:v>3</x:v>
      </x:c>
      <x:c r="J459" s="1" t="b">
        <x:v>0</x:v>
      </x:c>
      <x:c r="K459" t="str">
        <x:v>Active</x:v>
      </x:c>
      <x:c r="L459" t="n">
        <x:v>64</x:v>
      </x:c>
      <x:c r="M459" t="str"/>
      <x:c r="N459" t="n">
        <x:v>1</x:v>
      </x:c>
      <x:c r="O459" t="n">
        <x:v>6</x:v>
      </x:c>
      <x:c r="P459" s="16" t="n">
        <x:v>2326</x:v>
      </x:c>
      <x:c r="Q459" t="n">
        <x:v>0</x:v>
      </x:c>
      <x:c r="R459" t="n">
        <x:v>0</x:v>
      </x:c>
      <x:c r="S459" t="n">
        <x:v>298</x:v>
      </x:c>
      <x:c r="T459" s="18" t="n">
        <x:v>26.0925</x:v>
      </x:c>
      <x:c r="U459" t="n">
        <x:v>19</x:v>
      </x:c>
      <x:c r="V459" t="n">
        <x:v>23</x:v>
      </x:c>
      <x:c r="W459" t="n">
        <x:v>5</x:v>
      </x:c>
      <x:c r="X459" s="18" t="n">
        <x:v>27.2</x:v>
      </x:c>
      <x:c r="Y459" s="18" t="n">
        <x:v>74.6</x:v>
      </x:c>
      <x:c r="Z459" s="18" t="n">
        <x:v>5</x:v>
      </x:c>
      <x:c r="AA459" t="n">
        <x:v>0</x:v>
      </x:c>
    </x:row>
    <x:row r="460">
      <x:c r="A460" t="str">
        <x:v>A-e7beab</x:v>
      </x:c>
      <x:c r="B460" t="str">
        <x:v>Company_458</x:v>
      </x:c>
      <x:c r="C460" t="str">
        <x:v>EdTech</x:v>
      </x:c>
      <x:c r="D460" t="str">
        <x:v>DE</x:v>
      </x:c>
      <x:c r="E460" s="14" t="n">
        <x:v>45219</x:v>
      </x:c>
      <x:c r="F460" t="str">
        <x:v>2023-10</x:v>
      </x:c>
      <x:c r="G460" t="str">
        <x:v>organic</x:v>
      </x:c>
      <x:c r="H460" t="str">
        <x:v>Enterprise</x:v>
      </x:c>
      <x:c r="I460" t="n">
        <x:v>5</x:v>
      </x:c>
      <x:c r="J460" s="1" t="b">
        <x:v>0</x:v>
      </x:c>
      <x:c r="K460" t="str">
        <x:v>Active</x:v>
      </x:c>
      <x:c r="L460" t="n">
        <x:v>438</x:v>
      </x:c>
      <x:c r="M460" t="str"/>
      <x:c r="N460" t="n">
        <x:v>1</x:v>
      </x:c>
      <x:c r="O460" t="n">
        <x:v>7</x:v>
      </x:c>
      <x:c r="P460" s="16" t="n">
        <x:v>5913</x:v>
      </x:c>
      <x:c r="Q460" t="n">
        <x:v>0</x:v>
      </x:c>
      <x:c r="R460" t="n">
        <x:v>0</x:v>
      </x:c>
      <x:c r="S460" t="n">
        <x:v>373</x:v>
      </x:c>
      <x:c r="T460" s="18" t="n">
        <x:v>36.409444444444446</x:v>
      </x:c>
      <x:c r="U460" t="n">
        <x:v>17</x:v>
      </x:c>
      <x:c r="V460" t="n">
        <x:v>22</x:v>
      </x:c>
      <x:c r="W460" t="n">
        <x:v>6</x:v>
      </x:c>
      <x:c r="X460" s="18" t="n">
        <x:v>36.666666666666664</x:v>
      </x:c>
      <x:c r="Y460" s="18" t="n">
        <x:v>124.66666666666667</x:v>
      </x:c>
      <x:c r="Z460" s="18" t="n">
        <x:v>4</x:v>
      </x:c>
      <x:c r="AA460" t="n">
        <x:v>0</x:v>
      </x:c>
    </x:row>
    <x:row r="461">
      <x:c r="A461" t="str">
        <x:v>A-a09355</x:v>
      </x:c>
      <x:c r="B461" t="str">
        <x:v>Company_459</x:v>
      </x:c>
      <x:c r="C461" t="str">
        <x:v>FinTech</x:v>
      </x:c>
      <x:c r="D461" t="str">
        <x:v>US</x:v>
      </x:c>
      <x:c r="E461" s="14" t="n">
        <x:v>45514</x:v>
      </x:c>
      <x:c r="F461" t="str">
        <x:v>2024-08</x:v>
      </x:c>
      <x:c r="G461" t="str">
        <x:v>organic</x:v>
      </x:c>
      <x:c r="H461" t="str">
        <x:v>Basic</x:v>
      </x:c>
      <x:c r="I461" t="n">
        <x:v>14</x:v>
      </x:c>
      <x:c r="J461" s="1" t="b">
        <x:v>0</x:v>
      </x:c>
      <x:c r="K461" t="str">
        <x:v>Active</x:v>
      </x:c>
      <x:c r="L461" t="n">
        <x:v>143</x:v>
      </x:c>
      <x:c r="M461" t="str"/>
      <x:c r="N461" t="n">
        <x:v>2</x:v>
      </x:c>
      <x:c r="O461" t="n">
        <x:v>16</x:v>
      </x:c>
      <x:c r="P461" s="16" t="n">
        <x:v>33454</x:v>
      </x:c>
      <x:c r="Q461" t="n">
        <x:v>0</x:v>
      </x:c>
      <x:c r="R461" t="n">
        <x:v>1</x:v>
      </x:c>
      <x:c r="S461" t="n">
        <x:v>788</x:v>
      </x:c>
      <x:c r="T461" s="18" t="n">
        <x:v>60.29555555555555</x:v>
      </x:c>
      <x:c r="U461" t="n">
        <x:v>47</x:v>
      </x:c>
      <x:c r="V461" t="n">
        <x:v>33</x:v>
      </x:c>
      <x:c r="W461" t="n">
        <x:v>5</x:v>
      </x:c>
      <x:c r="X461" s="18" t="n">
        <x:v>32.6</x:v>
      </x:c>
      <x:c r="Y461" s="18" t="n">
        <x:v>66.6</x:v>
      </x:c>
      <x:c r="Z461" s="18" t="n">
        <x:v>4</x:v>
      </x:c>
      <x:c r="AA461" t="n">
        <x:v>0</x:v>
      </x:c>
    </x:row>
    <x:row r="462">
      <x:c r="A462" t="str">
        <x:v>A-31ab9a</x:v>
      </x:c>
      <x:c r="B462" t="str">
        <x:v>Company_460</x:v>
      </x:c>
      <x:c r="C462" t="str">
        <x:v>FinTech</x:v>
      </x:c>
      <x:c r="D462" t="str">
        <x:v>DE</x:v>
      </x:c>
      <x:c r="E462" s="14" t="n">
        <x:v>45354</x:v>
      </x:c>
      <x:c r="F462" t="str">
        <x:v>2024-03</x:v>
      </x:c>
      <x:c r="G462" t="str">
        <x:v>organic</x:v>
      </x:c>
      <x:c r="H462" t="str">
        <x:v>Pro</x:v>
      </x:c>
      <x:c r="I462" t="n">
        <x:v>3</x:v>
      </x:c>
      <x:c r="J462" s="1" t="b">
        <x:v>0</x:v>
      </x:c>
      <x:c r="K462" t="str">
        <x:v>Active</x:v>
      </x:c>
      <x:c r="L462" t="n">
        <x:v>303</x:v>
      </x:c>
      <x:c r="M462" t="str"/>
      <x:c r="N462" t="n">
        <x:v>2</x:v>
      </x:c>
      <x:c r="O462" t="n">
        <x:v>7</x:v>
      </x:c>
      <x:c r="P462" s="16" t="n">
        <x:v>15802</x:v>
      </x:c>
      <x:c r="Q462" t="n">
        <x:v>0</x:v>
      </x:c>
      <x:c r="R462" t="n">
        <x:v>0</x:v>
      </x:c>
      <x:c r="S462" t="n">
        <x:v>340</x:v>
      </x:c>
      <x:c r="T462" s="18" t="n">
        <x:v>36.088055555555556</x:v>
      </x:c>
      <x:c r="U462" t="n">
        <x:v>23</x:v>
      </x:c>
      <x:c r="V462" t="n">
        <x:v>19</x:v>
      </x:c>
      <x:c r="W462" t="n">
        <x:v>7</x:v>
      </x:c>
      <x:c r="X462" s="18" t="n">
        <x:v>43.142857142857146</x:v>
      </x:c>
      <x:c r="Y462" s="18" t="n">
        <x:v>67.71428571428571</x:v>
      </x:c>
      <x:c r="Z462" s="18" t="n">
        <x:v>3.5</x:v>
      </x:c>
      <x:c r="AA462" t="n">
        <x:v>0</x:v>
      </x:c>
    </x:row>
    <x:row r="463">
      <x:c r="A463" t="str">
        <x:v>A-0158bb</x:v>
      </x:c>
      <x:c r="B463" t="str">
        <x:v>Company_461</x:v>
      </x:c>
      <x:c r="C463" t="str">
        <x:v>FinTech</x:v>
      </x:c>
      <x:c r="D463" t="str">
        <x:v>DE</x:v>
      </x:c>
      <x:c r="E463" s="14" t="n">
        <x:v>45434</x:v>
      </x:c>
      <x:c r="F463" t="str">
        <x:v>2024-05</x:v>
      </x:c>
      <x:c r="G463" t="str">
        <x:v>partner</x:v>
      </x:c>
      <x:c r="H463" t="str">
        <x:v>Basic</x:v>
      </x:c>
      <x:c r="I463" t="n">
        <x:v>5</x:v>
      </x:c>
      <x:c r="J463" s="1" t="b">
        <x:v>0</x:v>
      </x:c>
      <x:c r="K463" t="str">
        <x:v>Active</x:v>
      </x:c>
      <x:c r="L463" t="n">
        <x:v>223</x:v>
      </x:c>
      <x:c r="M463" t="str"/>
      <x:c r="N463" t="n">
        <x:v>0</x:v>
      </x:c>
      <x:c r="O463" t="n">
        <x:v>6</x:v>
      </x:c>
      <x:c r="P463" s="16" t="n">
        <x:v>4070</x:v>
      </x:c>
      <x:c r="Q463" t="n">
        <x:v>1</x:v>
      </x:c>
      <x:c r="R463" t="n">
        <x:v>0</x:v>
      </x:c>
      <x:c r="S463" t="n">
        <x:v>364</x:v>
      </x:c>
      <x:c r="T463" s="18" t="n">
        <x:v>33.903055555555554</x:v>
      </x:c>
      <x:c r="U463" t="n">
        <x:v>22</x:v>
      </x:c>
      <x:c r="V463" t="n">
        <x:v>19</x:v>
      </x:c>
      <x:c r="W463" t="n">
        <x:v>1</x:v>
      </x:c>
      <x:c r="X463" s="18" t="n">
        <x:v>32</x:v>
      </x:c>
      <x:c r="Y463" s="18" t="n">
        <x:v>50</x:v>
      </x:c>
      <x:c r="Z463" s="18" t="n">
        <x:v>3</x:v>
      </x:c>
      <x:c r="AA463" t="n">
        <x:v>0</x:v>
      </x:c>
    </x:row>
    <x:row r="464">
      <x:c r="A464" t="str">
        <x:v>A-f19b24</x:v>
      </x:c>
      <x:c r="B464" t="str">
        <x:v>Company_462</x:v>
      </x:c>
      <x:c r="C464" t="str">
        <x:v>Cybersecurity</x:v>
      </x:c>
      <x:c r="D464" t="str">
        <x:v>US</x:v>
      </x:c>
      <x:c r="E464" s="14" t="n">
        <x:v>44936</x:v>
      </x:c>
      <x:c r="F464" t="str">
        <x:v>2023-01</x:v>
      </x:c>
      <x:c r="G464" t="str">
        <x:v>organic</x:v>
      </x:c>
      <x:c r="H464" t="str">
        <x:v>Pro</x:v>
      </x:c>
      <x:c r="I464" t="n">
        <x:v>29</x:v>
      </x:c>
      <x:c r="J464" s="1" t="b">
        <x:v>1</x:v>
      </x:c>
      <x:c r="K464" t="str">
        <x:v>Active</x:v>
      </x:c>
      <x:c r="L464" t="n">
        <x:v>721</x:v>
      </x:c>
      <x:c r="M464" t="str"/>
      <x:c r="N464" t="n">
        <x:v>0</x:v>
      </x:c>
      <x:c r="O464" t="n">
        <x:v>3</x:v>
      </x:c>
      <x:c r="P464" s="16" t="n">
        <x:v>2523</x:v>
      </x:c>
      <x:c r="Q464" t="n">
        <x:v>0</x:v>
      </x:c>
      <x:c r="R464" t="n">
        <x:v>0</x:v>
      </x:c>
      <x:c r="S464" t="n">
        <x:v>119</x:v>
      </x:c>
      <x:c r="T464" s="18" t="n">
        <x:v>12.78111111111111</x:v>
      </x:c>
      <x:c r="U464" t="n">
        <x:v>10</x:v>
      </x:c>
      <x:c r="V464" t="n">
        <x:v>12</x:v>
      </x:c>
      <x:c r="W464" t="n">
        <x:v>2</x:v>
      </x:c>
      <x:c r="X464" s="18" t="n">
        <x:v>35.5</x:v>
      </x:c>
      <x:c r="Y464" s="18" t="n">
        <x:v>74</x:v>
      </x:c>
      <x:c r="Z464" s="18" t="n">
        <x:v>4</x:v>
      </x:c>
      <x:c r="AA464" t="n">
        <x:v>1</x:v>
      </x:c>
    </x:row>
    <x:row r="465">
      <x:c r="A465" t="str">
        <x:v>A-798a3f</x:v>
      </x:c>
      <x:c r="B465" t="str">
        <x:v>Company_463</x:v>
      </x:c>
      <x:c r="C465" t="str">
        <x:v>DevTools</x:v>
      </x:c>
      <x:c r="D465" t="str">
        <x:v>FR</x:v>
      </x:c>
      <x:c r="E465" s="14" t="n">
        <x:v>45218</x:v>
      </x:c>
      <x:c r="F465" t="str">
        <x:v>2023-10</x:v>
      </x:c>
      <x:c r="G465" t="str">
        <x:v>other</x:v>
      </x:c>
      <x:c r="H465" t="str">
        <x:v>Enterprise</x:v>
      </x:c>
      <x:c r="I465" t="n">
        <x:v>12</x:v>
      </x:c>
      <x:c r="J465" s="1" t="b">
        <x:v>0</x:v>
      </x:c>
      <x:c r="K465" t="str">
        <x:v>Churned</x:v>
      </x:c>
      <x:c r="L465" t="n">
        <x:v>274</x:v>
      </x:c>
      <x:c r="M465" t="str">
        <x:v>support</x:v>
      </x:c>
      <x:c r="N465" t="n">
        <x:v>1</x:v>
      </x:c>
      <x:c r="O465" t="n">
        <x:v>9</x:v>
      </x:c>
      <x:c r="P465" s="16" t="n">
        <x:v>13563</x:v>
      </x:c>
      <x:c r="Q465" t="n">
        <x:v>1</x:v>
      </x:c>
      <x:c r="R465" t="n">
        <x:v>0</x:v>
      </x:c>
      <x:c r="S465" t="n">
        <x:v>352</x:v>
      </x:c>
      <x:c r="T465" s="18" t="n">
        <x:v>29.20722222222222</x:v>
      </x:c>
      <x:c r="U465" t="n">
        <x:v>19</x:v>
      </x:c>
      <x:c r="V465" t="n">
        <x:v>19</x:v>
      </x:c>
      <x:c r="W465" t="n">
        <x:v>5</x:v>
      </x:c>
      <x:c r="X465" s="18" t="n">
        <x:v>33</x:v>
      </x:c>
      <x:c r="Y465" s="18" t="n">
        <x:v>45.2</x:v>
      </x:c>
      <x:c r="Z465" s="18" t="n">
        <x:v>4</x:v>
      </x:c>
      <x:c r="AA465" t="n">
        <x:v>0</x:v>
      </x:c>
    </x:row>
    <x:row r="466">
      <x:c r="A466" t="str">
        <x:v>A-42b791</x:v>
      </x:c>
      <x:c r="B466" t="str">
        <x:v>Company_464</x:v>
      </x:c>
      <x:c r="C466" t="str">
        <x:v>FinTech</x:v>
      </x:c>
      <x:c r="D466" t="str">
        <x:v>AU</x:v>
      </x:c>
      <x:c r="E466" s="14" t="n">
        <x:v>45432</x:v>
      </x:c>
      <x:c r="F466" t="str">
        <x:v>2024-05</x:v>
      </x:c>
      <x:c r="G466" t="str">
        <x:v>event</x:v>
      </x:c>
      <x:c r="H466" t="str">
        <x:v>Pro</x:v>
      </x:c>
      <x:c r="I466" t="n">
        <x:v>3</x:v>
      </x:c>
      <x:c r="J466" s="1" t="b">
        <x:v>0</x:v>
      </x:c>
      <x:c r="K466" t="str">
        <x:v>Active</x:v>
      </x:c>
      <x:c r="L466" t="n">
        <x:v>225</x:v>
      </x:c>
      <x:c r="M466" t="str"/>
      <x:c r="N466" t="n">
        <x:v>0</x:v>
      </x:c>
      <x:c r="O466" t="n">
        <x:v>7</x:v>
      </x:c>
      <x:c r="P466" s="16" t="n">
        <x:v>18547</x:v>
      </x:c>
      <x:c r="Q466" t="n">
        <x:v>0</x:v>
      </x:c>
      <x:c r="R466" t="n">
        <x:v>0</x:v>
      </x:c>
      <x:c r="S466" t="n">
        <x:v>312</x:v>
      </x:c>
      <x:c r="T466" s="18" t="n">
        <x:v>23.525833333333335</x:v>
      </x:c>
      <x:c r="U466" t="n">
        <x:v>6</x:v>
      </x:c>
      <x:c r="V466" t="n">
        <x:v>19</x:v>
      </x:c>
      <x:c r="W466" t="n">
        <x:v>3</x:v>
      </x:c>
      <x:c r="X466" s="18" t="n">
        <x:v>33.666666666666664</x:v>
      </x:c>
      <x:c r="Y466" s="18" t="n">
        <x:v>72</x:v>
      </x:c>
      <x:c r="Z466" s="18" t="n">
        <x:v>4</x:v>
      </x:c>
      <x:c r="AA466" t="n">
        <x:v>0</x:v>
      </x:c>
    </x:row>
    <x:row r="467">
      <x:c r="A467" t="str">
        <x:v>A-068fc6</x:v>
      </x:c>
      <x:c r="B467" t="str">
        <x:v>Company_465</x:v>
      </x:c>
      <x:c r="C467" t="str">
        <x:v>EdTech</x:v>
      </x:c>
      <x:c r="D467" t="str">
        <x:v>US</x:v>
      </x:c>
      <x:c r="E467" s="14" t="n">
        <x:v>45124</x:v>
      </x:c>
      <x:c r="F467" t="str">
        <x:v>2023-07</x:v>
      </x:c>
      <x:c r="G467" t="str">
        <x:v>event</x:v>
      </x:c>
      <x:c r="H467" t="str">
        <x:v>Enterprise</x:v>
      </x:c>
      <x:c r="I467" t="n">
        <x:v>35</x:v>
      </x:c>
      <x:c r="J467" s="1" t="b">
        <x:v>0</x:v>
      </x:c>
      <x:c r="K467" t="str">
        <x:v>Active</x:v>
      </x:c>
      <x:c r="L467" t="n">
        <x:v>533</x:v>
      </x:c>
      <x:c r="M467" t="str"/>
      <x:c r="N467" t="n">
        <x:v>0</x:v>
      </x:c>
      <x:c r="O467" t="n">
        <x:v>10</x:v>
      </x:c>
      <x:c r="P467" s="16" t="n">
        <x:v>22120</x:v>
      </x:c>
      <x:c r="Q467" t="n">
        <x:v>1</x:v>
      </x:c>
      <x:c r="R467" t="n">
        <x:v>0</x:v>
      </x:c>
      <x:c r="S467" t="n">
        <x:v>598</x:v>
      </x:c>
      <x:c r="T467" s="18" t="n">
        <x:v>52.51027777777778</x:v>
      </x:c>
      <x:c r="U467" t="n">
        <x:v>29</x:v>
      </x:c>
      <x:c r="V467" t="n">
        <x:v>32</x:v>
      </x:c>
      <x:c r="W467" t="n">
        <x:v>5</x:v>
      </x:c>
      <x:c r="X467" s="18" t="n">
        <x:v>38.8</x:v>
      </x:c>
      <x:c r="Y467" s="18" t="n">
        <x:v>121.4</x:v>
      </x:c>
      <x:c r="Z467" s="18" t="n">
        <x:v>4.333333333333333</x:v>
      </x:c>
      <x:c r="AA467" t="n">
        <x:v>0</x:v>
      </x:c>
    </x:row>
    <x:row r="468">
      <x:c r="A468" t="str">
        <x:v>A-6f50ae</x:v>
      </x:c>
      <x:c r="B468" t="str">
        <x:v>Company_466</x:v>
      </x:c>
      <x:c r="C468" t="str">
        <x:v>FinTech</x:v>
      </x:c>
      <x:c r="D468" t="str">
        <x:v>US</x:v>
      </x:c>
      <x:c r="E468" s="14" t="n">
        <x:v>45190</x:v>
      </x:c>
      <x:c r="F468" t="str">
        <x:v>2023-09</x:v>
      </x:c>
      <x:c r="G468" t="str">
        <x:v>partner</x:v>
      </x:c>
      <x:c r="H468" t="str">
        <x:v>Pro</x:v>
      </x:c>
      <x:c r="I468" t="n">
        <x:v>19</x:v>
      </x:c>
      <x:c r="J468" s="1" t="b">
        <x:v>0</x:v>
      </x:c>
      <x:c r="K468" t="str">
        <x:v>Churned</x:v>
      </x:c>
      <x:c r="L468" t="n">
        <x:v>158</x:v>
      </x:c>
      <x:c r="M468" t="str">
        <x:v>features</x:v>
      </x:c>
      <x:c r="N468" t="n">
        <x:v>2</x:v>
      </x:c>
      <x:c r="O468" t="n">
        <x:v>14</x:v>
      </x:c>
      <x:c r="P468" s="16" t="n">
        <x:v>26608</x:v>
      </x:c>
      <x:c r="Q468" t="n">
        <x:v>0</x:v>
      </x:c>
      <x:c r="R468" t="n">
        <x:v>1</x:v>
      </x:c>
      <x:c r="S468" t="n">
        <x:v>811</x:v>
      </x:c>
      <x:c r="T468" s="18" t="n">
        <x:v>66.67</x:v>
      </x:c>
      <x:c r="U468" t="n">
        <x:v>48</x:v>
      </x:c>
      <x:c r="V468" t="n">
        <x:v>35</x:v>
      </x:c>
      <x:c r="W468" t="n">
        <x:v>5</x:v>
      </x:c>
      <x:c r="X468" s="18" t="n">
        <x:v>31</x:v>
      </x:c>
      <x:c r="Y468" s="18" t="n">
        <x:v>87.4</x:v>
      </x:c>
      <x:c r="Z468" s="18" t="n">
        <x:v>4.5</x:v>
      </x:c>
      <x:c r="AA468" t="n">
        <x:v>0</x:v>
      </x:c>
    </x:row>
    <x:row r="469">
      <x:c r="A469" t="str">
        <x:v>A-a2485e</x:v>
      </x:c>
      <x:c r="B469" t="str">
        <x:v>Company_467</x:v>
      </x:c>
      <x:c r="C469" t="str">
        <x:v>FinTech</x:v>
      </x:c>
      <x:c r="D469" t="str">
        <x:v>US</x:v>
      </x:c>
      <x:c r="E469" s="14" t="n">
        <x:v>45508</x:v>
      </x:c>
      <x:c r="F469" t="str">
        <x:v>2024-08</x:v>
      </x:c>
      <x:c r="G469" t="str">
        <x:v>event</x:v>
      </x:c>
      <x:c r="H469" t="str">
        <x:v>Pro</x:v>
      </x:c>
      <x:c r="I469" t="n">
        <x:v>3</x:v>
      </x:c>
      <x:c r="J469" s="1" t="b">
        <x:v>1</x:v>
      </x:c>
      <x:c r="K469" t="str">
        <x:v>Active</x:v>
      </x:c>
      <x:c r="L469" t="n">
        <x:v>149</x:v>
      </x:c>
      <x:c r="M469" t="str"/>
      <x:c r="N469" t="n">
        <x:v>0</x:v>
      </x:c>
      <x:c r="O469" t="n">
        <x:v>6</x:v>
      </x:c>
      <x:c r="P469" s="16" t="n">
        <x:v>8775</x:v>
      </x:c>
      <x:c r="Q469" t="n">
        <x:v>0</x:v>
      </x:c>
      <x:c r="R469" t="n">
        <x:v>1</x:v>
      </x:c>
      <x:c r="S469" t="n">
        <x:v>317</x:v>
      </x:c>
      <x:c r="T469" s="18" t="n">
        <x:v>28.513055555555557</x:v>
      </x:c>
      <x:c r="U469" t="n">
        <x:v>13</x:v>
      </x:c>
      <x:c r="V469" t="n">
        <x:v>22</x:v>
      </x:c>
      <x:c r="W469" t="n">
        <x:v>0</x:v>
      </x:c>
      <x:c r="X469" s="18"/>
      <x:c r="Y469" s="18"/>
      <x:c r="Z469" s="18"/>
      <x:c r="AA469" t="n">
        <x:v>0</x:v>
      </x:c>
    </x:row>
    <x:row r="470">
      <x:c r="A470" t="str">
        <x:v>A-bb1eaa</x:v>
      </x:c>
      <x:c r="B470" t="str">
        <x:v>Company_468</x:v>
      </x:c>
      <x:c r="C470" t="str">
        <x:v>Cybersecurity</x:v>
      </x:c>
      <x:c r="D470" t="str">
        <x:v>US</x:v>
      </x:c>
      <x:c r="E470" s="14" t="n">
        <x:v>45454</x:v>
      </x:c>
      <x:c r="F470" t="str">
        <x:v>2024-06</x:v>
      </x:c>
      <x:c r="G470" t="str">
        <x:v>organic</x:v>
      </x:c>
      <x:c r="H470" t="str">
        <x:v>Basic</x:v>
      </x:c>
      <x:c r="I470" t="n">
        <x:v>21</x:v>
      </x:c>
      <x:c r="J470" s="1" t="b">
        <x:v>0</x:v>
      </x:c>
      <x:c r="K470" t="str">
        <x:v>Active</x:v>
      </x:c>
      <x:c r="L470" t="n">
        <x:v>203</x:v>
      </x:c>
      <x:c r="M470" t="str"/>
      <x:c r="N470" t="n">
        <x:v>1</x:v>
      </x:c>
      <x:c r="O470" t="n">
        <x:v>5</x:v>
      </x:c>
      <x:c r="P470" s="16" t="n">
        <x:v>10381</x:v>
      </x:c>
      <x:c r="Q470" t="n">
        <x:v>0</x:v>
      </x:c>
      <x:c r="R470" t="n">
        <x:v>1</x:v>
      </x:c>
      <x:c r="S470" t="n">
        <x:v>164</x:v>
      </x:c>
      <x:c r="T470" s="18" t="n">
        <x:v>12.59361111111111</x:v>
      </x:c>
      <x:c r="U470" t="n">
        <x:v>7</x:v>
      </x:c>
      <x:c r="V470" t="n">
        <x:v>15</x:v>
      </x:c>
      <x:c r="W470" t="n">
        <x:v>6</x:v>
      </x:c>
      <x:c r="X470" s="18" t="n">
        <x:v>23.5</x:v>
      </x:c>
      <x:c r="Y470" s="18" t="n">
        <x:v>92.33333333333333</x:v>
      </x:c>
      <x:c r="Z470" s="18" t="n">
        <x:v>4.5</x:v>
      </x:c>
      <x:c r="AA470" t="n">
        <x:v>0</x:v>
      </x:c>
    </x:row>
    <x:row r="471">
      <x:c r="A471" t="str">
        <x:v>A-cc98bc</x:v>
      </x:c>
      <x:c r="B471" t="str">
        <x:v>Company_469</x:v>
      </x:c>
      <x:c r="C471" t="str">
        <x:v>DevTools</x:v>
      </x:c>
      <x:c r="D471" t="str">
        <x:v>US</x:v>
      </x:c>
      <x:c r="E471" s="14" t="n">
        <x:v>45070</x:v>
      </x:c>
      <x:c r="F471" t="str">
        <x:v>2023-05</x:v>
      </x:c>
      <x:c r="G471" t="str">
        <x:v>ads</x:v>
      </x:c>
      <x:c r="H471" t="str">
        <x:v>Basic</x:v>
      </x:c>
      <x:c r="I471" t="n">
        <x:v>32</x:v>
      </x:c>
      <x:c r="J471" s="1" t="b">
        <x:v>0</x:v>
      </x:c>
      <x:c r="K471" t="str">
        <x:v>Active</x:v>
      </x:c>
      <x:c r="L471" t="n">
        <x:v>587</x:v>
      </x:c>
      <x:c r="M471" t="str"/>
      <x:c r="N471" t="n">
        <x:v>0</x:v>
      </x:c>
      <x:c r="O471" t="n">
        <x:v>10</x:v>
      </x:c>
      <x:c r="P471" s="16" t="n">
        <x:v>19999</x:v>
      </x:c>
      <x:c r="Q471" t="n">
        <x:v>1</x:v>
      </x:c>
      <x:c r="R471" t="n">
        <x:v>0</x:v>
      </x:c>
      <x:c r="S471" t="n">
        <x:v>551</x:v>
      </x:c>
      <x:c r="T471" s="18" t="n">
        <x:v>44.575</x:v>
      </x:c>
      <x:c r="U471" t="n">
        <x:v>24</x:v>
      </x:c>
      <x:c r="V471" t="n">
        <x:v>29</x:v>
      </x:c>
      <x:c r="W471" t="n">
        <x:v>3</x:v>
      </x:c>
      <x:c r="X471" s="18" t="n">
        <x:v>4.666666666666667</x:v>
      </x:c>
      <x:c r="Y471" s="18" t="n">
        <x:v>122.33333333333333</x:v>
      </x:c>
      <x:c r="Z471" s="18" t="n">
        <x:v>4</x:v>
      </x:c>
      <x:c r="AA471" t="n">
        <x:v>0</x:v>
      </x:c>
    </x:row>
    <x:row r="472">
      <x:c r="A472" t="str">
        <x:v>A-d77f4c</x:v>
      </x:c>
      <x:c r="B472" t="str">
        <x:v>Company_470</x:v>
      </x:c>
      <x:c r="C472" t="str">
        <x:v>DevTools</x:v>
      </x:c>
      <x:c r="D472" t="str">
        <x:v>US</x:v>
      </x:c>
      <x:c r="E472" s="14" t="n">
        <x:v>45194</x:v>
      </x:c>
      <x:c r="F472" t="str">
        <x:v>2023-09</x:v>
      </x:c>
      <x:c r="G472" t="str">
        <x:v>partner</x:v>
      </x:c>
      <x:c r="H472" t="str">
        <x:v>Pro</x:v>
      </x:c>
      <x:c r="I472" t="n">
        <x:v>4</x:v>
      </x:c>
      <x:c r="J472" s="1" t="b">
        <x:v>1</x:v>
      </x:c>
      <x:c r="K472" t="str">
        <x:v>Active</x:v>
      </x:c>
      <x:c r="L472" t="n">
        <x:v>463</x:v>
      </x:c>
      <x:c r="M472" t="str"/>
      <x:c r="N472" t="n">
        <x:v>3</x:v>
      </x:c>
      <x:c r="O472" t="n">
        <x:v>14</x:v>
      </x:c>
      <x:c r="P472" s="16" t="n">
        <x:v>48378</x:v>
      </x:c>
      <x:c r="Q472" t="n">
        <x:v>4</x:v>
      </x:c>
      <x:c r="R472" t="n">
        <x:v>1</x:v>
      </x:c>
      <x:c r="S472" t="n">
        <x:v>617</x:v>
      </x:c>
      <x:c r="T472" s="18" t="n">
        <x:v>50.568333333333335</x:v>
      </x:c>
      <x:c r="U472" t="n">
        <x:v>32</x:v>
      </x:c>
      <x:c r="V472" t="n">
        <x:v>31</x:v>
      </x:c>
      <x:c r="W472" t="n">
        <x:v>2</x:v>
      </x:c>
      <x:c r="X472" s="18" t="n">
        <x:v>31</x:v>
      </x:c>
      <x:c r="Y472" s="18" t="n">
        <x:v>75</x:v>
      </x:c>
      <x:c r="Z472" s="18" t="n">
        <x:v>4</x:v>
      </x:c>
      <x:c r="AA472" t="n">
        <x:v>0</x:v>
      </x:c>
    </x:row>
    <x:row r="473">
      <x:c r="A473" t="str">
        <x:v>A-ccabf0</x:v>
      </x:c>
      <x:c r="B473" t="str">
        <x:v>Company_471</x:v>
      </x:c>
      <x:c r="C473" t="str">
        <x:v>HealthTech</x:v>
      </x:c>
      <x:c r="D473" t="str">
        <x:v>IN</x:v>
      </x:c>
      <x:c r="E473" s="14" t="n">
        <x:v>45236</x:v>
      </x:c>
      <x:c r="F473" t="str">
        <x:v>2023-11</x:v>
      </x:c>
      <x:c r="G473" t="str">
        <x:v>organic</x:v>
      </x:c>
      <x:c r="H473" t="str">
        <x:v>Pro</x:v>
      </x:c>
      <x:c r="I473" t="n">
        <x:v>1</x:v>
      </x:c>
      <x:c r="J473" s="1" t="b">
        <x:v>0</x:v>
      </x:c>
      <x:c r="K473" t="str">
        <x:v>Active</x:v>
      </x:c>
      <x:c r="L473" t="n">
        <x:v>421</x:v>
      </x:c>
      <x:c r="M473" t="str"/>
      <x:c r="N473" t="n">
        <x:v>2</x:v>
      </x:c>
      <x:c r="O473" t="n">
        <x:v>10</x:v>
      </x:c>
      <x:c r="P473" s="16" t="n">
        <x:v>22281</x:v>
      </x:c>
      <x:c r="Q473" t="n">
        <x:v>0</x:v>
      </x:c>
      <x:c r="R473" t="n">
        <x:v>1</x:v>
      </x:c>
      <x:c r="S473" t="n">
        <x:v>506</x:v>
      </x:c>
      <x:c r="T473" s="18" t="n">
        <x:v>46.96888888888889</x:v>
      </x:c>
      <x:c r="U473" t="n">
        <x:v>29</x:v>
      </x:c>
      <x:c r="V473" t="n">
        <x:v>31</x:v>
      </x:c>
      <x:c r="W473" t="n">
        <x:v>4</x:v>
      </x:c>
      <x:c r="X473" s="18" t="n">
        <x:v>46.25</x:v>
      </x:c>
      <x:c r="Y473" s="18" t="n">
        <x:v>89.75</x:v>
      </x:c>
      <x:c r="Z473" s="18" t="n">
        <x:v>3.6666666666666665</x:v>
      </x:c>
      <x:c r="AA473" t="n">
        <x:v>0</x:v>
      </x:c>
    </x:row>
    <x:row r="474">
      <x:c r="A474" t="str">
        <x:v>A-700ade</x:v>
      </x:c>
      <x:c r="B474" t="str">
        <x:v>Company_472</x:v>
      </x:c>
      <x:c r="C474" t="str">
        <x:v>Cybersecurity</x:v>
      </x:c>
      <x:c r="D474" t="str">
        <x:v>UK</x:v>
      </x:c>
      <x:c r="E474" s="14" t="n">
        <x:v>45596</x:v>
      </x:c>
      <x:c r="F474" t="str">
        <x:v>2024-10</x:v>
      </x:c>
      <x:c r="G474" t="str">
        <x:v>organic</x:v>
      </x:c>
      <x:c r="H474" t="str">
        <x:v>Enterprise</x:v>
      </x:c>
      <x:c r="I474" t="n">
        <x:v>1</x:v>
      </x:c>
      <x:c r="J474" s="1" t="b">
        <x:v>1</x:v>
      </x:c>
      <x:c r="K474" t="str">
        <x:v>Active</x:v>
      </x:c>
      <x:c r="L474" t="n">
        <x:v>61</x:v>
      </x:c>
      <x:c r="M474" t="str"/>
      <x:c r="N474" t="n">
        <x:v>0</x:v>
      </x:c>
      <x:c r="O474" t="n">
        <x:v>8</x:v>
      </x:c>
      <x:c r="P474" s="16" t="n">
        <x:v>13859</x:v>
      </x:c>
      <x:c r="Q474" t="n">
        <x:v>0</x:v>
      </x:c>
      <x:c r="R474" t="n">
        <x:v>0</x:v>
      </x:c>
      <x:c r="S474" t="n">
        <x:v>284</x:v>
      </x:c>
      <x:c r="T474" s="18" t="n">
        <x:v>23.716944444444444</x:v>
      </x:c>
      <x:c r="U474" t="n">
        <x:v>18</x:v>
      </x:c>
      <x:c r="V474" t="n">
        <x:v>20</x:v>
      </x:c>
      <x:c r="W474" t="n">
        <x:v>4</x:v>
      </x:c>
      <x:c r="X474" s="18" t="n">
        <x:v>30.25</x:v>
      </x:c>
      <x:c r="Y474" s="18" t="n">
        <x:v>53.5</x:v>
      </x:c>
      <x:c r="Z474" s="18" t="n">
        <x:v>4.666666666666667</x:v>
      </x:c>
      <x:c r="AA474" t="n">
        <x:v>0</x:v>
      </x:c>
    </x:row>
    <x:row r="475">
      <x:c r="A475" t="str">
        <x:v>A-4a4c2d</x:v>
      </x:c>
      <x:c r="B475" t="str">
        <x:v>Company_473</x:v>
      </x:c>
      <x:c r="C475" t="str">
        <x:v>DevTools</x:v>
      </x:c>
      <x:c r="D475" t="str">
        <x:v>US</x:v>
      </x:c>
      <x:c r="E475" s="14" t="n">
        <x:v>45048</x:v>
      </x:c>
      <x:c r="F475" t="str">
        <x:v>2023-05</x:v>
      </x:c>
      <x:c r="G475" t="str">
        <x:v>event</x:v>
      </x:c>
      <x:c r="H475" t="str">
        <x:v>Enterprise</x:v>
      </x:c>
      <x:c r="I475" t="n">
        <x:v>54</x:v>
      </x:c>
      <x:c r="J475" s="1" t="b">
        <x:v>0</x:v>
      </x:c>
      <x:c r="K475" t="str">
        <x:v>Active</x:v>
      </x:c>
      <x:c r="L475" t="n">
        <x:v>609</x:v>
      </x:c>
      <x:c r="M475" t="str"/>
      <x:c r="N475" t="n">
        <x:v>0</x:v>
      </x:c>
      <x:c r="O475" t="n">
        <x:v>13</x:v>
      </x:c>
      <x:c r="P475" s="16" t="n">
        <x:v>32940</x:v>
      </x:c>
      <x:c r="Q475" t="n">
        <x:v>1</x:v>
      </x:c>
      <x:c r="R475" t="n">
        <x:v>1</x:v>
      </x:c>
      <x:c r="S475" t="n">
        <x:v>587</x:v>
      </x:c>
      <x:c r="T475" s="18" t="n">
        <x:v>45.61333333333334</x:v>
      </x:c>
      <x:c r="U475" t="n">
        <x:v>37</x:v>
      </x:c>
      <x:c r="V475" t="n">
        <x:v>28</x:v>
      </x:c>
      <x:c r="W475" t="n">
        <x:v>5</x:v>
      </x:c>
      <x:c r="X475" s="18" t="n">
        <x:v>42</x:v>
      </x:c>
      <x:c r="Y475" s="18" t="n">
        <x:v>104</x:v>
      </x:c>
      <x:c r="Z475" s="18" t="n">
        <x:v>4.25</x:v>
      </x:c>
      <x:c r="AA475" t="n">
        <x:v>0</x:v>
      </x:c>
    </x:row>
    <x:row r="476">
      <x:c r="A476" t="str">
        <x:v>A-b7ef83</x:v>
      </x:c>
      <x:c r="B476" t="str">
        <x:v>Company_474</x:v>
      </x:c>
      <x:c r="C476" t="str">
        <x:v>Cybersecurity</x:v>
      </x:c>
      <x:c r="D476" t="str">
        <x:v>UK</x:v>
      </x:c>
      <x:c r="E476" s="14" t="n">
        <x:v>45441</x:v>
      </x:c>
      <x:c r="F476" t="str">
        <x:v>2024-05</x:v>
      </x:c>
      <x:c r="G476" t="str">
        <x:v>partner</x:v>
      </x:c>
      <x:c r="H476" t="str">
        <x:v>Pro</x:v>
      </x:c>
      <x:c r="I476" t="n">
        <x:v>1</x:v>
      </x:c>
      <x:c r="J476" s="1" t="b">
        <x:v>1</x:v>
      </x:c>
      <x:c r="K476" t="str">
        <x:v>Active</x:v>
      </x:c>
      <x:c r="L476" t="n">
        <x:v>216</x:v>
      </x:c>
      <x:c r="M476" t="str"/>
      <x:c r="N476" t="n">
        <x:v>2</x:v>
      </x:c>
      <x:c r="O476" t="n">
        <x:v>15</x:v>
      </x:c>
      <x:c r="P476" s="16" t="n">
        <x:v>26913</x:v>
      </x:c>
      <x:c r="Q476" t="n">
        <x:v>2</x:v>
      </x:c>
      <x:c r="R476" t="n">
        <x:v>0</x:v>
      </x:c>
      <x:c r="S476" t="n">
        <x:v>738</x:v>
      </x:c>
      <x:c r="T476" s="18" t="n">
        <x:v>60.215833333333336</x:v>
      </x:c>
      <x:c r="U476" t="n">
        <x:v>39</x:v>
      </x:c>
      <x:c r="V476" t="n">
        <x:v>34</x:v>
      </x:c>
      <x:c r="W476" t="n">
        <x:v>2</x:v>
      </x:c>
      <x:c r="X476" s="18" t="n">
        <x:v>47.5</x:v>
      </x:c>
      <x:c r="Y476" s="18" t="n">
        <x:v>79</x:v>
      </x:c>
      <x:c r="Z476" s="18" t="n">
        <x:v>4</x:v>
      </x:c>
      <x:c r="AA476" t="n">
        <x:v>0</x:v>
      </x:c>
    </x:row>
    <x:row r="477">
      <x:c r="A477" t="str">
        <x:v>A-e08cd3</x:v>
      </x:c>
      <x:c r="B477" t="str">
        <x:v>Company_475</x:v>
      </x:c>
      <x:c r="C477" t="str">
        <x:v>FinTech</x:v>
      </x:c>
      <x:c r="D477" t="str">
        <x:v>US</x:v>
      </x:c>
      <x:c r="E477" s="14" t="n">
        <x:v>45556</x:v>
      </x:c>
      <x:c r="F477" t="str">
        <x:v>2024-09</x:v>
      </x:c>
      <x:c r="G477" t="str">
        <x:v>ads</x:v>
      </x:c>
      <x:c r="H477" t="str">
        <x:v>Pro</x:v>
      </x:c>
      <x:c r="I477" t="n">
        <x:v>67</x:v>
      </x:c>
      <x:c r="J477" s="1" t="b">
        <x:v>1</x:v>
      </x:c>
      <x:c r="K477" t="str">
        <x:v>Active</x:v>
      </x:c>
      <x:c r="L477" t="n">
        <x:v>101</x:v>
      </x:c>
      <x:c r="M477" t="str"/>
      <x:c r="N477" t="n">
        <x:v>2</x:v>
      </x:c>
      <x:c r="O477" t="n">
        <x:v>11</x:v>
      </x:c>
      <x:c r="P477" s="16" t="n">
        <x:v>67737</x:v>
      </x:c>
      <x:c r="Q477" t="n">
        <x:v>0</x:v>
      </x:c>
      <x:c r="R477" t="n">
        <x:v>1</x:v>
      </x:c>
      <x:c r="S477" t="n">
        <x:v>432</x:v>
      </x:c>
      <x:c r="T477" s="18" t="n">
        <x:v>38.35111111111111</x:v>
      </x:c>
      <x:c r="U477" t="n">
        <x:v>21</x:v>
      </x:c>
      <x:c r="V477" t="n">
        <x:v>30</x:v>
      </x:c>
      <x:c r="W477" t="n">
        <x:v>8</x:v>
      </x:c>
      <x:c r="X477" s="18" t="n">
        <x:v>30.375</x:v>
      </x:c>
      <x:c r="Y477" s="18" t="n">
        <x:v>93</x:v>
      </x:c>
      <x:c r="Z477" s="18" t="n">
        <x:v>4</x:v>
      </x:c>
      <x:c r="AA477" t="n">
        <x:v>0</x:v>
      </x:c>
    </x:row>
    <x:row r="478">
      <x:c r="A478" t="str">
        <x:v>A-19b2c8</x:v>
      </x:c>
      <x:c r="B478" t="str">
        <x:v>Company_476</x:v>
      </x:c>
      <x:c r="C478" t="str">
        <x:v>DevTools</x:v>
      </x:c>
      <x:c r="D478" t="str">
        <x:v>IN</x:v>
      </x:c>
      <x:c r="E478" s="14" t="n">
        <x:v>45083</x:v>
      </x:c>
      <x:c r="F478" t="str">
        <x:v>2023-06</x:v>
      </x:c>
      <x:c r="G478" t="str">
        <x:v>other</x:v>
      </x:c>
      <x:c r="H478" t="str">
        <x:v>Pro</x:v>
      </x:c>
      <x:c r="I478" t="n">
        <x:v>20</x:v>
      </x:c>
      <x:c r="J478" s="1" t="b">
        <x:v>0</x:v>
      </x:c>
      <x:c r="K478" t="str">
        <x:v>Active</x:v>
      </x:c>
      <x:c r="L478" t="n">
        <x:v>574</x:v>
      </x:c>
      <x:c r="M478" t="str"/>
      <x:c r="N478" t="n">
        <x:v>1</x:v>
      </x:c>
      <x:c r="O478" t="n">
        <x:v>13</x:v>
      </x:c>
      <x:c r="P478" s="16" t="n">
        <x:v>26703</x:v>
      </x:c>
      <x:c r="Q478" t="n">
        <x:v>1</x:v>
      </x:c>
      <x:c r="R478" t="n">
        <x:v>0</x:v>
      </x:c>
      <x:c r="S478" t="n">
        <x:v>601</x:v>
      </x:c>
      <x:c r="T478" s="18" t="n">
        <x:v>52.33361111111111</x:v>
      </x:c>
      <x:c r="U478" t="n">
        <x:v>34</x:v>
      </x:c>
      <x:c r="V478" t="n">
        <x:v>31</x:v>
      </x:c>
      <x:c r="W478" t="n">
        <x:v>3</x:v>
      </x:c>
      <x:c r="X478" s="18" t="n">
        <x:v>29.333333333333332</x:v>
      </x:c>
      <x:c r="Y478" s="18" t="n">
        <x:v>90</x:v>
      </x:c>
      <x:c r="Z478" s="18" t="n">
        <x:v>4.666666666666667</x:v>
      </x:c>
      <x:c r="AA478" t="n">
        <x:v>0</x:v>
      </x:c>
    </x:row>
    <x:row r="479">
      <x:c r="A479" t="str">
        <x:v>A-970c97</x:v>
      </x:c>
      <x:c r="B479" t="str">
        <x:v>Company_477</x:v>
      </x:c>
      <x:c r="C479" t="str">
        <x:v>HealthTech</x:v>
      </x:c>
      <x:c r="D479" t="str">
        <x:v>DE</x:v>
      </x:c>
      <x:c r="E479" s="14" t="n">
        <x:v>45352</x:v>
      </x:c>
      <x:c r="F479" t="str">
        <x:v>2024-03</x:v>
      </x:c>
      <x:c r="G479" t="str">
        <x:v>other</x:v>
      </x:c>
      <x:c r="H479" t="str">
        <x:v>Enterprise</x:v>
      </x:c>
      <x:c r="I479" t="n">
        <x:v>14</x:v>
      </x:c>
      <x:c r="J479" s="1" t="b">
        <x:v>0</x:v>
      </x:c>
      <x:c r="K479" t="str">
        <x:v>Active</x:v>
      </x:c>
      <x:c r="L479" t="n">
        <x:v>305</x:v>
      </x:c>
      <x:c r="M479" t="str"/>
      <x:c r="N479" t="n">
        <x:v>0</x:v>
      </x:c>
      <x:c r="O479" t="n">
        <x:v>8</x:v>
      </x:c>
      <x:c r="P479" s="16" t="n">
        <x:v>14868</x:v>
      </x:c>
      <x:c r="Q479" t="n">
        <x:v>0</x:v>
      </x:c>
      <x:c r="R479" t="n">
        <x:v>1</x:v>
      </x:c>
      <x:c r="S479" t="n">
        <x:v>444</x:v>
      </x:c>
      <x:c r="T479" s="18" t="n">
        <x:v>37.147777777777776</x:v>
      </x:c>
      <x:c r="U479" t="n">
        <x:v>24</x:v>
      </x:c>
      <x:c r="V479" t="n">
        <x:v>26</x:v>
      </x:c>
      <x:c r="W479" t="n">
        <x:v>1</x:v>
      </x:c>
      <x:c r="X479" s="18" t="n">
        <x:v>61</x:v>
      </x:c>
      <x:c r="Y479" s="18" t="n">
        <x:v>139</x:v>
      </x:c>
      <x:c r="Z479" s="18" t="n">
        <x:v>5</x:v>
      </x:c>
      <x:c r="AA479" t="n">
        <x:v>0</x:v>
      </x:c>
    </x:row>
    <x:row r="480">
      <x:c r="A480" t="str">
        <x:v>A-6dee43</x:v>
      </x:c>
      <x:c r="B480" t="str">
        <x:v>Company_478</x:v>
      </x:c>
      <x:c r="C480" t="str">
        <x:v>FinTech</x:v>
      </x:c>
      <x:c r="D480" t="str">
        <x:v>UK</x:v>
      </x:c>
      <x:c r="E480" s="14" t="n">
        <x:v>45150</x:v>
      </x:c>
      <x:c r="F480" t="str">
        <x:v>2023-08</x:v>
      </x:c>
      <x:c r="G480" t="str">
        <x:v>other</x:v>
      </x:c>
      <x:c r="H480" t="str">
        <x:v>Basic</x:v>
      </x:c>
      <x:c r="I480" t="n">
        <x:v>3</x:v>
      </x:c>
      <x:c r="J480" s="1" t="b">
        <x:v>1</x:v>
      </x:c>
      <x:c r="K480" t="str">
        <x:v>Active</x:v>
      </x:c>
      <x:c r="L480" t="n">
        <x:v>507</x:v>
      </x:c>
      <x:c r="M480" t="str"/>
      <x:c r="N480" t="n">
        <x:v>1</x:v>
      </x:c>
      <x:c r="O480" t="n">
        <x:v>11</x:v>
      </x:c>
      <x:c r="P480" s="16" t="n">
        <x:v>20075</x:v>
      </x:c>
      <x:c r="Q480" t="n">
        <x:v>1</x:v>
      </x:c>
      <x:c r="R480" t="n">
        <x:v>0</x:v>
      </x:c>
      <x:c r="S480" t="n">
        <x:v>461</x:v>
      </x:c>
      <x:c r="T480" s="18" t="n">
        <x:v>39.593333333333334</x:v>
      </x:c>
      <x:c r="U480" t="n">
        <x:v>11</x:v>
      </x:c>
      <x:c r="V480" t="n">
        <x:v>28</x:v>
      </x:c>
      <x:c r="W480" t="n">
        <x:v>5</x:v>
      </x:c>
      <x:c r="X480" s="18" t="n">
        <x:v>44.2</x:v>
      </x:c>
      <x:c r="Y480" s="18" t="n">
        <x:v>48.8</x:v>
      </x:c>
      <x:c r="Z480" s="18" t="n">
        <x:v>4.333333333333333</x:v>
      </x:c>
      <x:c r="AA480" t="n">
        <x:v>0</x:v>
      </x:c>
    </x:row>
    <x:row r="481">
      <x:c r="A481" t="str">
        <x:v>A-5ed98d</x:v>
      </x:c>
      <x:c r="B481" t="str">
        <x:v>Company_479</x:v>
      </x:c>
      <x:c r="C481" t="str">
        <x:v>DevTools</x:v>
      </x:c>
      <x:c r="D481" t="str">
        <x:v>US</x:v>
      </x:c>
      <x:c r="E481" s="14" t="n">
        <x:v>45465</x:v>
      </x:c>
      <x:c r="F481" t="str">
        <x:v>2024-06</x:v>
      </x:c>
      <x:c r="G481" t="str">
        <x:v>partner</x:v>
      </x:c>
      <x:c r="H481" t="str">
        <x:v>Basic</x:v>
      </x:c>
      <x:c r="I481" t="n">
        <x:v>24</x:v>
      </x:c>
      <x:c r="J481" s="1" t="b">
        <x:v>0</x:v>
      </x:c>
      <x:c r="K481" t="str">
        <x:v>Active</x:v>
      </x:c>
      <x:c r="L481" t="n">
        <x:v>192</x:v>
      </x:c>
      <x:c r="M481" t="str"/>
      <x:c r="N481" t="n">
        <x:v>2</x:v>
      </x:c>
      <x:c r="O481" t="n">
        <x:v>8</x:v>
      </x:c>
      <x:c r="P481" s="16" t="n">
        <x:v>15478</x:v>
      </x:c>
      <x:c r="Q481" t="n">
        <x:v>1</x:v>
      </x:c>
      <x:c r="R481" t="n">
        <x:v>0</x:v>
      </x:c>
      <x:c r="S481" t="n">
        <x:v>312</x:v>
      </x:c>
      <x:c r="T481" s="18" t="n">
        <x:v>25.087222222222223</x:v>
      </x:c>
      <x:c r="U481" t="n">
        <x:v>18</x:v>
      </x:c>
      <x:c r="V481" t="n">
        <x:v>23</x:v>
      </x:c>
      <x:c r="W481" t="n">
        <x:v>5</x:v>
      </x:c>
      <x:c r="X481" s="18" t="n">
        <x:v>35.8</x:v>
      </x:c>
      <x:c r="Y481" s="18" t="n">
        <x:v>91.8</x:v>
      </x:c>
      <x:c r="Z481" s="18" t="n">
        <x:v>5</x:v>
      </x:c>
      <x:c r="AA481" t="n">
        <x:v>0</x:v>
      </x:c>
    </x:row>
    <x:row r="482">
      <x:c r="A482" t="str">
        <x:v>A-c58f49</x:v>
      </x:c>
      <x:c r="B482" t="str">
        <x:v>Company_480</x:v>
      </x:c>
      <x:c r="C482" t="str">
        <x:v>EdTech</x:v>
      </x:c>
      <x:c r="D482" t="str">
        <x:v>US</x:v>
      </x:c>
      <x:c r="E482" s="14" t="n">
        <x:v>45504</x:v>
      </x:c>
      <x:c r="F482" t="str">
        <x:v>2024-07</x:v>
      </x:c>
      <x:c r="G482" t="str">
        <x:v>other</x:v>
      </x:c>
      <x:c r="H482" t="str">
        <x:v>Enterprise</x:v>
      </x:c>
      <x:c r="I482" t="n">
        <x:v>70</x:v>
      </x:c>
      <x:c r="J482" s="1" t="b">
        <x:v>1</x:v>
      </x:c>
      <x:c r="K482" t="str">
        <x:v>Active</x:v>
      </x:c>
      <x:c r="L482" t="n">
        <x:v>153</x:v>
      </x:c>
      <x:c r="M482" t="str"/>
      <x:c r="N482" t="n">
        <x:v>3</x:v>
      </x:c>
      <x:c r="O482" t="n">
        <x:v>7</x:v>
      </x:c>
      <x:c r="P482" s="16" t="n">
        <x:v>70980</x:v>
      </x:c>
      <x:c r="Q482" t="n">
        <x:v>1</x:v>
      </x:c>
      <x:c r="R482" t="n">
        <x:v>0</x:v>
      </x:c>
      <x:c r="S482" t="n">
        <x:v>363</x:v>
      </x:c>
      <x:c r="T482" s="18" t="n">
        <x:v>30.15</x:v>
      </x:c>
      <x:c r="U482" t="n">
        <x:v>22</x:v>
      </x:c>
      <x:c r="V482" t="n">
        <x:v>24</x:v>
      </x:c>
      <x:c r="W482" t="n">
        <x:v>3</x:v>
      </x:c>
      <x:c r="X482" s="18" t="n">
        <x:v>36.333333333333336</x:v>
      </x:c>
      <x:c r="Y482" s="18" t="n">
        <x:v>60</x:v>
      </x:c>
      <x:c r="Z482" s="18" t="n">
        <x:v>5</x:v>
      </x:c>
      <x:c r="AA482" t="n">
        <x:v>1</x:v>
      </x:c>
    </x:row>
    <x:row r="483">
      <x:c r="A483" t="str">
        <x:v>A-9c18c4</x:v>
      </x:c>
      <x:c r="B483" t="str">
        <x:v>Company_481</x:v>
      </x:c>
      <x:c r="C483" t="str">
        <x:v>HealthTech</x:v>
      </x:c>
      <x:c r="D483" t="str">
        <x:v>US</x:v>
      </x:c>
      <x:c r="E483" s="14" t="n">
        <x:v>45134</x:v>
      </x:c>
      <x:c r="F483" t="str">
        <x:v>2023-07</x:v>
      </x:c>
      <x:c r="G483" t="str">
        <x:v>ads</x:v>
      </x:c>
      <x:c r="H483" t="str">
        <x:v>Pro</x:v>
      </x:c>
      <x:c r="I483" t="n">
        <x:v>11</x:v>
      </x:c>
      <x:c r="J483" s="1" t="b">
        <x:v>0</x:v>
      </x:c>
      <x:c r="K483" t="str">
        <x:v>Churned</x:v>
      </x:c>
      <x:c r="L483" t="n">
        <x:v>523</x:v>
      </x:c>
      <x:c r="M483" t="str"/>
      <x:c r="N483" t="n">
        <x:v>0</x:v>
      </x:c>
      <x:c r="O483" t="n">
        <x:v>10</x:v>
      </x:c>
      <x:c r="P483" s="16" t="n">
        <x:v>13814</x:v>
      </x:c>
      <x:c r="Q483" t="n">
        <x:v>3</x:v>
      </x:c>
      <x:c r="R483" t="n">
        <x:v>0</x:v>
      </x:c>
      <x:c r="S483" t="n">
        <x:v>556</x:v>
      </x:c>
      <x:c r="T483" s="18" t="n">
        <x:v>49.570277777777775</x:v>
      </x:c>
      <x:c r="U483" t="n">
        <x:v>37</x:v>
      </x:c>
      <x:c r="V483" t="n">
        <x:v>30</x:v>
      </x:c>
      <x:c r="W483" t="n">
        <x:v>4</x:v>
      </x:c>
      <x:c r="X483" s="18" t="n">
        <x:v>42.25</x:v>
      </x:c>
      <x:c r="Y483" s="18" t="n">
        <x:v>130.25</x:v>
      </x:c>
      <x:c r="Z483" s="18" t="n">
        <x:v>4</x:v>
      </x:c>
      <x:c r="AA483" t="n">
        <x:v>0</x:v>
      </x:c>
    </x:row>
    <x:row r="484">
      <x:c r="A484" t="str">
        <x:v>A-cc8c8f</x:v>
      </x:c>
      <x:c r="B484" t="str">
        <x:v>Company_482</x:v>
      </x:c>
      <x:c r="C484" t="str">
        <x:v>DevTools</x:v>
      </x:c>
      <x:c r="D484" t="str">
        <x:v>US</x:v>
      </x:c>
      <x:c r="E484" s="14" t="n">
        <x:v>45459</x:v>
      </x:c>
      <x:c r="F484" t="str">
        <x:v>2024-06</x:v>
      </x:c>
      <x:c r="G484" t="str">
        <x:v>ads</x:v>
      </x:c>
      <x:c r="H484" t="str">
        <x:v>Enterprise</x:v>
      </x:c>
      <x:c r="I484" t="n">
        <x:v>23</x:v>
      </x:c>
      <x:c r="J484" s="1" t="b">
        <x:v>0</x:v>
      </x:c>
      <x:c r="K484" t="str">
        <x:v>Active</x:v>
      </x:c>
      <x:c r="L484" t="n">
        <x:v>198</x:v>
      </x:c>
      <x:c r="M484" t="str"/>
      <x:c r="N484" t="n">
        <x:v>1</x:v>
      </x:c>
      <x:c r="O484" t="n">
        <x:v>7</x:v>
      </x:c>
      <x:c r="P484" s="16" t="n">
        <x:v>15600</x:v>
      </x:c>
      <x:c r="Q484" t="n">
        <x:v>1</x:v>
      </x:c>
      <x:c r="R484" t="n">
        <x:v>1</x:v>
      </x:c>
      <x:c r="S484" t="n">
        <x:v>268</x:v>
      </x:c>
      <x:c r="T484" s="18" t="n">
        <x:v>18.60638888888889</x:v>
      </x:c>
      <x:c r="U484" t="n">
        <x:v>18</x:v>
      </x:c>
      <x:c r="V484" t="n">
        <x:v>20</x:v>
      </x:c>
      <x:c r="W484" t="n">
        <x:v>2</x:v>
      </x:c>
      <x:c r="X484" s="18" t="n">
        <x:v>14.5</x:v>
      </x:c>
      <x:c r="Y484" s="18" t="n">
        <x:v>123</x:v>
      </x:c>
      <x:c r="Z484" s="18" t="n">
        <x:v>3.5</x:v>
      </x:c>
      <x:c r="AA484" t="n">
        <x:v>0</x:v>
      </x:c>
    </x:row>
    <x:row r="485">
      <x:c r="A485" t="str">
        <x:v>A-5f7781</x:v>
      </x:c>
      <x:c r="B485" t="str">
        <x:v>Company_483</x:v>
      </x:c>
      <x:c r="C485" t="str">
        <x:v>DevTools</x:v>
      </x:c>
      <x:c r="D485" t="str">
        <x:v>US</x:v>
      </x:c>
      <x:c r="E485" s="14" t="n">
        <x:v>45524</x:v>
      </x:c>
      <x:c r="F485" t="str">
        <x:v>2024-08</x:v>
      </x:c>
      <x:c r="G485" t="str">
        <x:v>other</x:v>
      </x:c>
      <x:c r="H485" t="str">
        <x:v>Pro</x:v>
      </x:c>
      <x:c r="I485" t="n">
        <x:v>22</x:v>
      </x:c>
      <x:c r="J485" s="1" t="b">
        <x:v>0</x:v>
      </x:c>
      <x:c r="K485" t="str">
        <x:v>Active</x:v>
      </x:c>
      <x:c r="L485" t="n">
        <x:v>133</x:v>
      </x:c>
      <x:c r="M485" t="str"/>
      <x:c r="N485" t="n">
        <x:v>1</x:v>
      </x:c>
      <x:c r="O485" t="n">
        <x:v>5</x:v>
      </x:c>
      <x:c r="P485" s="16" t="n">
        <x:v>10252</x:v>
      </x:c>
      <x:c r="Q485" t="n">
        <x:v>1</x:v>
      </x:c>
      <x:c r="R485" t="n">
        <x:v>0</x:v>
      </x:c>
      <x:c r="S485" t="n">
        <x:v>183</x:v>
      </x:c>
      <x:c r="T485" s="18" t="n">
        <x:v>19.306944444444444</x:v>
      </x:c>
      <x:c r="U485" t="n">
        <x:v>10</x:v>
      </x:c>
      <x:c r="V485" t="n">
        <x:v>16</x:v>
      </x:c>
      <x:c r="W485" t="n">
        <x:v>2</x:v>
      </x:c>
      <x:c r="X485" s="18" t="n">
        <x:v>28.5</x:v>
      </x:c>
      <x:c r="Y485" s="18" t="n">
        <x:v>42</x:v>
      </x:c>
      <x:c r="Z485" s="18" t="n">
        <x:v>4</x:v>
      </x:c>
      <x:c r="AA485" t="n">
        <x:v>0</x:v>
      </x:c>
    </x:row>
    <x:row r="486">
      <x:c r="A486" t="str">
        <x:v>A-e1b9cd</x:v>
      </x:c>
      <x:c r="B486" t="str">
        <x:v>Company_484</x:v>
      </x:c>
      <x:c r="C486" t="str">
        <x:v>DevTools</x:v>
      </x:c>
      <x:c r="D486" t="str">
        <x:v>US</x:v>
      </x:c>
      <x:c r="E486" s="14" t="n">
        <x:v>44983</x:v>
      </x:c>
      <x:c r="F486" t="str">
        <x:v>2023-02</x:v>
      </x:c>
      <x:c r="G486" t="str">
        <x:v>event</x:v>
      </x:c>
      <x:c r="H486" t="str">
        <x:v>Pro</x:v>
      </x:c>
      <x:c r="I486" t="n">
        <x:v>40</x:v>
      </x:c>
      <x:c r="J486" s="1" t="b">
        <x:v>0</x:v>
      </x:c>
      <x:c r="K486" t="str">
        <x:v>Churned</x:v>
      </x:c>
      <x:c r="L486" t="n">
        <x:v>583</x:v>
      </x:c>
      <x:c r="M486" t="str">
        <x:v>unknown</x:v>
      </x:c>
      <x:c r="N486" t="n">
        <x:v>1</x:v>
      </x:c>
      <x:c r="O486" t="n">
        <x:v>15</x:v>
      </x:c>
      <x:c r="P486" s="16" t="n">
        <x:v>26362</x:v>
      </x:c>
      <x:c r="Q486" t="n">
        <x:v>0</x:v>
      </x:c>
      <x:c r="R486" t="n">
        <x:v>3</x:v>
      </x:c>
      <x:c r="S486" t="n">
        <x:v>840</x:v>
      </x:c>
      <x:c r="T486" s="18" t="n">
        <x:v>67.67111111111112</x:v>
      </x:c>
      <x:c r="U486" t="n">
        <x:v>47</x:v>
      </x:c>
      <x:c r="V486" t="n">
        <x:v>34</x:v>
      </x:c>
      <x:c r="W486" t="n">
        <x:v>1</x:v>
      </x:c>
      <x:c r="X486" s="18" t="n">
        <x:v>35</x:v>
      </x:c>
      <x:c r="Y486" s="18" t="n">
        <x:v>115</x:v>
      </x:c>
      <x:c r="Z486" s="18" t="n">
        <x:v>3</x:v>
      </x:c>
      <x:c r="AA486" t="n">
        <x:v>0</x:v>
      </x:c>
    </x:row>
    <x:row r="487">
      <x:c r="A487" t="str">
        <x:v>A-ac85cd</x:v>
      </x:c>
      <x:c r="B487" t="str">
        <x:v>Company_485</x:v>
      </x:c>
      <x:c r="C487" t="str">
        <x:v>EdTech</x:v>
      </x:c>
      <x:c r="D487" t="str">
        <x:v>US</x:v>
      </x:c>
      <x:c r="E487" s="14" t="n">
        <x:v>45504</x:v>
      </x:c>
      <x:c r="F487" t="str">
        <x:v>2024-07</x:v>
      </x:c>
      <x:c r="G487" t="str">
        <x:v>partner</x:v>
      </x:c>
      <x:c r="H487" t="str">
        <x:v>Enterprise</x:v>
      </x:c>
      <x:c r="I487" t="n">
        <x:v>53</x:v>
      </x:c>
      <x:c r="J487" s="1" t="b">
        <x:v>0</x:v>
      </x:c>
      <x:c r="K487" t="str">
        <x:v>Active</x:v>
      </x:c>
      <x:c r="L487" t="n">
        <x:v>153</x:v>
      </x:c>
      <x:c r="M487" t="str"/>
      <x:c r="N487" t="n">
        <x:v>2</x:v>
      </x:c>
      <x:c r="O487" t="n">
        <x:v>12</x:v>
      </x:c>
      <x:c r="P487" s="16" t="n">
        <x:v>37663</x:v>
      </x:c>
      <x:c r="Q487" t="n">
        <x:v>1</x:v>
      </x:c>
      <x:c r="R487" t="n">
        <x:v>2</x:v>
      </x:c>
      <x:c r="S487" t="n">
        <x:v>634</x:v>
      </x:c>
      <x:c r="T487" s="18" t="n">
        <x:v>48.88944444444444</x:v>
      </x:c>
      <x:c r="U487" t="n">
        <x:v>29</x:v>
      </x:c>
      <x:c r="V487" t="n">
        <x:v>30</x:v>
      </x:c>
      <x:c r="W487" t="n">
        <x:v>3</x:v>
      </x:c>
      <x:c r="X487" s="18" t="n">
        <x:v>33.666666666666664</x:v>
      </x:c>
      <x:c r="Y487" s="18" t="n">
        <x:v>76.33333333333333</x:v>
      </x:c>
      <x:c r="Z487" s="18" t="n">
        <x:v>3.5</x:v>
      </x:c>
      <x:c r="AA487" t="n">
        <x:v>0</x:v>
      </x:c>
    </x:row>
    <x:row r="488">
      <x:c r="A488" t="str">
        <x:v>A-d792a6</x:v>
      </x:c>
      <x:c r="B488" t="str">
        <x:v>Company_486</x:v>
      </x:c>
      <x:c r="C488" t="str">
        <x:v>DevTools</x:v>
      </x:c>
      <x:c r="D488" t="str">
        <x:v>US</x:v>
      </x:c>
      <x:c r="E488" s="14" t="n">
        <x:v>44949</x:v>
      </x:c>
      <x:c r="F488" t="str">
        <x:v>2023-01</x:v>
      </x:c>
      <x:c r="G488" t="str">
        <x:v>organic</x:v>
      </x:c>
      <x:c r="H488" t="str">
        <x:v>Enterprise</x:v>
      </x:c>
      <x:c r="I488" t="n">
        <x:v>4</x:v>
      </x:c>
      <x:c r="J488" s="1" t="b">
        <x:v>0</x:v>
      </x:c>
      <x:c r="K488" t="str">
        <x:v>Active</x:v>
      </x:c>
      <x:c r="L488" t="n">
        <x:v>708</x:v>
      </x:c>
      <x:c r="M488" t="str"/>
      <x:c r="N488" t="n">
        <x:v>2</x:v>
      </x:c>
      <x:c r="O488" t="n">
        <x:v>15</x:v>
      </x:c>
      <x:c r="P488" s="16" t="n">
        <x:v>22954</x:v>
      </x:c>
      <x:c r="Q488" t="n">
        <x:v>1</x:v>
      </x:c>
      <x:c r="R488" t="n">
        <x:v>1</x:v>
      </x:c>
      <x:c r="S488" t="n">
        <x:v>690</x:v>
      </x:c>
      <x:c r="T488" s="18" t="n">
        <x:v>56.49861111111111</x:v>
      </x:c>
      <x:c r="U488" t="n">
        <x:v>40</x:v>
      </x:c>
      <x:c r="V488" t="n">
        <x:v>32</x:v>
      </x:c>
      <x:c r="W488" t="n">
        <x:v>5</x:v>
      </x:c>
      <x:c r="X488" s="18" t="n">
        <x:v>40.6</x:v>
      </x:c>
      <x:c r="Y488" s="18" t="n">
        <x:v>97.8</x:v>
      </x:c>
      <x:c r="Z488" s="18" t="n">
        <x:v>4</x:v>
      </x:c>
      <x:c r="AA488" t="n">
        <x:v>0</x:v>
      </x:c>
    </x:row>
    <x:row r="489">
      <x:c r="A489" t="str">
        <x:v>A-ac9111</x:v>
      </x:c>
      <x:c r="B489" t="str">
        <x:v>Company_487</x:v>
      </x:c>
      <x:c r="C489" t="str">
        <x:v>HealthTech</x:v>
      </x:c>
      <x:c r="D489" t="str">
        <x:v>US</x:v>
      </x:c>
      <x:c r="E489" s="14" t="n">
        <x:v>45150</x:v>
      </x:c>
      <x:c r="F489" t="str">
        <x:v>2023-08</x:v>
      </x:c>
      <x:c r="G489" t="str">
        <x:v>event</x:v>
      </x:c>
      <x:c r="H489" t="str">
        <x:v>Pro</x:v>
      </x:c>
      <x:c r="I489" t="n">
        <x:v>21</x:v>
      </x:c>
      <x:c r="J489" s="1" t="b">
        <x:v>1</x:v>
      </x:c>
      <x:c r="K489" t="str">
        <x:v>Active</x:v>
      </x:c>
      <x:c r="L489" t="n">
        <x:v>507</x:v>
      </x:c>
      <x:c r="M489" t="str"/>
      <x:c r="N489" t="n">
        <x:v>1</x:v>
      </x:c>
      <x:c r="O489" t="n">
        <x:v>16</x:v>
      </x:c>
      <x:c r="P489" s="16" t="n">
        <x:v>25828</x:v>
      </x:c>
      <x:c r="Q489" t="n">
        <x:v>0</x:v>
      </x:c>
      <x:c r="R489" t="n">
        <x:v>1</x:v>
      </x:c>
      <x:c r="S489" t="n">
        <x:v>808</x:v>
      </x:c>
      <x:c r="T489" s="18" t="n">
        <x:v>70.64722222222223</x:v>
      </x:c>
      <x:c r="U489" t="n">
        <x:v>46</x:v>
      </x:c>
      <x:c r="V489" t="n">
        <x:v>36</x:v>
      </x:c>
      <x:c r="W489" t="n">
        <x:v>3</x:v>
      </x:c>
      <x:c r="X489" s="18" t="n">
        <x:v>24.666666666666668</x:v>
      </x:c>
      <x:c r="Y489" s="18" t="n">
        <x:v>89.66666666666667</x:v>
      </x:c>
      <x:c r="Z489" s="18" t="n">
        <x:v>5</x:v>
      </x:c>
      <x:c r="AA489" t="n">
        <x:v>0</x:v>
      </x:c>
    </x:row>
    <x:row r="490">
      <x:c r="A490" t="str">
        <x:v>A-18793f</x:v>
      </x:c>
      <x:c r="B490" t="str">
        <x:v>Company_488</x:v>
      </x:c>
      <x:c r="C490" t="str">
        <x:v>EdTech</x:v>
      </x:c>
      <x:c r="D490" t="str">
        <x:v>US</x:v>
      </x:c>
      <x:c r="E490" s="14" t="n">
        <x:v>45644</x:v>
      </x:c>
      <x:c r="F490" t="str">
        <x:v>2024-12</x:v>
      </x:c>
      <x:c r="G490" t="str">
        <x:v>organic</x:v>
      </x:c>
      <x:c r="H490" t="str">
        <x:v>Basic</x:v>
      </x:c>
      <x:c r="I490" t="n">
        <x:v>148</x:v>
      </x:c>
      <x:c r="J490" s="1" t="b">
        <x:v>1</x:v>
      </x:c>
      <x:c r="K490" t="str">
        <x:v>Active</x:v>
      </x:c>
      <x:c r="L490" t="n">
        <x:v>13</x:v>
      </x:c>
      <x:c r="M490" t="str"/>
      <x:c r="N490" t="n">
        <x:v>1</x:v>
      </x:c>
      <x:c r="O490" t="n">
        <x:v>11</x:v>
      </x:c>
      <x:c r="P490" s="16" t="n">
        <x:v>75776</x:v>
      </x:c>
      <x:c r="Q490" t="n">
        <x:v>1</x:v>
      </x:c>
      <x:c r="R490" t="n">
        <x:v>0</x:v>
      </x:c>
      <x:c r="S490" t="n">
        <x:v>486</x:v>
      </x:c>
      <x:c r="T490" s="18" t="n">
        <x:v>46.75277777777778</x:v>
      </x:c>
      <x:c r="U490" t="n">
        <x:v>20</x:v>
      </x:c>
      <x:c r="V490" t="n">
        <x:v>30</x:v>
      </x:c>
      <x:c r="W490" t="n">
        <x:v>5</x:v>
      </x:c>
      <x:c r="X490" s="18" t="n">
        <x:v>45.2</x:v>
      </x:c>
      <x:c r="Y490" s="18" t="n">
        <x:v>101.6</x:v>
      </x:c>
      <x:c r="Z490" s="18" t="n">
        <x:v>3.8</x:v>
      </x:c>
      <x:c r="AA490" t="n">
        <x:v>0</x:v>
      </x:c>
    </x:row>
    <x:row r="491">
      <x:c r="A491" t="str">
        <x:v>A-9f0b68</x:v>
      </x:c>
      <x:c r="B491" t="str">
        <x:v>Company_489</x:v>
      </x:c>
      <x:c r="C491" t="str">
        <x:v>EdTech</x:v>
      </x:c>
      <x:c r="D491" t="str">
        <x:v>US</x:v>
      </x:c>
      <x:c r="E491" s="14" t="n">
        <x:v>45410</x:v>
      </x:c>
      <x:c r="F491" t="str">
        <x:v>2024-04</x:v>
      </x:c>
      <x:c r="G491" t="str">
        <x:v>ads</x:v>
      </x:c>
      <x:c r="H491" t="str">
        <x:v>Basic</x:v>
      </x:c>
      <x:c r="I491" t="n">
        <x:v>10</x:v>
      </x:c>
      <x:c r="J491" s="1" t="b">
        <x:v>0</x:v>
      </x:c>
      <x:c r="K491" t="str">
        <x:v>Active</x:v>
      </x:c>
      <x:c r="L491" t="n">
        <x:v>247</x:v>
      </x:c>
      <x:c r="M491" t="str"/>
      <x:c r="N491" t="n">
        <x:v>2</x:v>
      </x:c>
      <x:c r="O491" t="n">
        <x:v>12</x:v>
      </x:c>
      <x:c r="P491" s="16" t="n">
        <x:v>28518</x:v>
      </x:c>
      <x:c r="Q491" t="n">
        <x:v>2</x:v>
      </x:c>
      <x:c r="R491" t="n">
        <x:v>1</x:v>
      </x:c>
      <x:c r="S491" t="n">
        <x:v>709</x:v>
      </x:c>
      <x:c r="T491" s="18" t="n">
        <x:v>53.92305555555556</x:v>
      </x:c>
      <x:c r="U491" t="n">
        <x:v>33</x:v>
      </x:c>
      <x:c r="V491" t="n">
        <x:v>36</x:v>
      </x:c>
      <x:c r="W491" t="n">
        <x:v>3</x:v>
      </x:c>
      <x:c r="X491" s="18" t="n">
        <x:v>30.333333333333332</x:v>
      </x:c>
      <x:c r="Y491" s="18" t="n">
        <x:v>96.33333333333333</x:v>
      </x:c>
      <x:c r="Z491" s="18" t="n">
        <x:v>3</x:v>
      </x:c>
      <x:c r="AA491" t="n">
        <x:v>0</x:v>
      </x:c>
    </x:row>
    <x:row r="492">
      <x:c r="A492" t="str">
        <x:v>A-d3c88e</x:v>
      </x:c>
      <x:c r="B492" t="str">
        <x:v>Company_490</x:v>
      </x:c>
      <x:c r="C492" t="str">
        <x:v>DevTools</x:v>
      </x:c>
      <x:c r="D492" t="str">
        <x:v>US</x:v>
      </x:c>
      <x:c r="E492" s="14" t="n">
        <x:v>45583</x:v>
      </x:c>
      <x:c r="F492" t="str">
        <x:v>2024-10</x:v>
      </x:c>
      <x:c r="G492" t="str">
        <x:v>event</x:v>
      </x:c>
      <x:c r="H492" t="str">
        <x:v>Pro</x:v>
      </x:c>
      <x:c r="I492" t="n">
        <x:v>16</x:v>
      </x:c>
      <x:c r="J492" s="1" t="b">
        <x:v>0</x:v>
      </x:c>
      <x:c r="K492" t="str">
        <x:v>Active</x:v>
      </x:c>
      <x:c r="L492" t="n">
        <x:v>74</x:v>
      </x:c>
      <x:c r="M492" t="str"/>
      <x:c r="N492" t="n">
        <x:v>1</x:v>
      </x:c>
      <x:c r="O492" t="n">
        <x:v>13</x:v>
      </x:c>
      <x:c r="P492" s="16" t="n">
        <x:v>26183</x:v>
      </x:c>
      <x:c r="Q492" t="n">
        <x:v>3</x:v>
      </x:c>
      <x:c r="R492" t="n">
        <x:v>0</x:v>
      </x:c>
      <x:c r="S492" t="n">
        <x:v>644</x:v>
      </x:c>
      <x:c r="T492" s="18" t="n">
        <x:v>56.80083333333334</x:v>
      </x:c>
      <x:c r="U492" t="n">
        <x:v>48</x:v>
      </x:c>
      <x:c r="V492" t="n">
        <x:v>33</x:v>
      </x:c>
      <x:c r="W492" t="n">
        <x:v>3</x:v>
      </x:c>
      <x:c r="X492" s="18" t="n">
        <x:v>58</x:v>
      </x:c>
      <x:c r="Y492" s="18" t="n">
        <x:v>48</x:v>
      </x:c>
      <x:c r="Z492" s="18" t="n">
        <x:v>4</x:v>
      </x:c>
      <x:c r="AA492" t="n">
        <x:v>0</x:v>
      </x:c>
    </x:row>
    <x:row r="493">
      <x:c r="A493" t="str">
        <x:v>A-ccb686</x:v>
      </x:c>
      <x:c r="B493" t="str">
        <x:v>Company_491</x:v>
      </x:c>
      <x:c r="C493" t="str">
        <x:v>DevTools</x:v>
      </x:c>
      <x:c r="D493" t="str">
        <x:v>US</x:v>
      </x:c>
      <x:c r="E493" s="14" t="n">
        <x:v>45313</x:v>
      </x:c>
      <x:c r="F493" t="str">
        <x:v>2024-01</x:v>
      </x:c>
      <x:c r="G493" t="str">
        <x:v>other</x:v>
      </x:c>
      <x:c r="H493" t="str">
        <x:v>Basic</x:v>
      </x:c>
      <x:c r="I493" t="n">
        <x:v>10</x:v>
      </x:c>
      <x:c r="J493" s="1" t="b">
        <x:v>0</x:v>
      </x:c>
      <x:c r="K493" t="str">
        <x:v>Active</x:v>
      </x:c>
      <x:c r="L493" t="n">
        <x:v>344</x:v>
      </x:c>
      <x:c r="M493" t="str"/>
      <x:c r="N493" t="n">
        <x:v>3</x:v>
      </x:c>
      <x:c r="O493" t="n">
        <x:v>12</x:v>
      </x:c>
      <x:c r="P493" s="16" t="n">
        <x:v>21351</x:v>
      </x:c>
      <x:c r="Q493" t="n">
        <x:v>4</x:v>
      </x:c>
      <x:c r="R493" t="n">
        <x:v>1</x:v>
      </x:c>
      <x:c r="S493" t="n">
        <x:v>721</x:v>
      </x:c>
      <x:c r="T493" s="18" t="n">
        <x:v>56.62444444444444</x:v>
      </x:c>
      <x:c r="U493" t="n">
        <x:v>46</x:v>
      </x:c>
      <x:c r="V493" t="n">
        <x:v>35</x:v>
      </x:c>
      <x:c r="W493" t="n">
        <x:v>1</x:v>
      </x:c>
      <x:c r="X493" s="18" t="n">
        <x:v>67</x:v>
      </x:c>
      <x:c r="Y493" s="18" t="n">
        <x:v>30</x:v>
      </x:c>
      <x:c r="Z493" s="18" t="n">
        <x:v>4</x:v>
      </x:c>
      <x:c r="AA493" t="n">
        <x:v>0</x:v>
      </x:c>
    </x:row>
    <x:row r="494">
      <x:c r="A494" t="str">
        <x:v>A-118f1c</x:v>
      </x:c>
      <x:c r="B494" t="str">
        <x:v>Company_492</x:v>
      </x:c>
      <x:c r="C494" t="str">
        <x:v>Cybersecurity</x:v>
      </x:c>
      <x:c r="D494" t="str">
        <x:v>US</x:v>
      </x:c>
      <x:c r="E494" s="14" t="n">
        <x:v>45596</x:v>
      </x:c>
      <x:c r="F494" t="str">
        <x:v>2024-10</x:v>
      </x:c>
      <x:c r="G494" t="str">
        <x:v>other</x:v>
      </x:c>
      <x:c r="H494" t="str">
        <x:v>Pro</x:v>
      </x:c>
      <x:c r="I494" t="n">
        <x:v>32</x:v>
      </x:c>
      <x:c r="J494" s="1" t="b">
        <x:v>0</x:v>
      </x:c>
      <x:c r="K494" t="str">
        <x:v>Active</x:v>
      </x:c>
      <x:c r="L494" t="n">
        <x:v>61</x:v>
      </x:c>
      <x:c r="M494" t="str"/>
      <x:c r="N494" t="n">
        <x:v>1</x:v>
      </x:c>
      <x:c r="O494" t="n">
        <x:v>8</x:v>
      </x:c>
      <x:c r="P494" s="16" t="n">
        <x:v>26080</x:v>
      </x:c>
      <x:c r="Q494" t="n">
        <x:v>0</x:v>
      </x:c>
      <x:c r="R494" t="n">
        <x:v>0</x:v>
      </x:c>
      <x:c r="S494" t="n">
        <x:v>369</x:v>
      </x:c>
      <x:c r="T494" s="18" t="n">
        <x:v>26.893333333333334</x:v>
      </x:c>
      <x:c r="U494" t="n">
        <x:v>14</x:v>
      </x:c>
      <x:c r="V494" t="n">
        <x:v>22</x:v>
      </x:c>
      <x:c r="W494" t="n">
        <x:v>1</x:v>
      </x:c>
      <x:c r="X494" s="18" t="n">
        <x:v>64</x:v>
      </x:c>
      <x:c r="Y494" s="18" t="n">
        <x:v>141</x:v>
      </x:c>
      <x:c r="Z494" s="18" t="n">
        <x:v>3</x:v>
      </x:c>
      <x:c r="AA494" t="n">
        <x:v>0</x:v>
      </x:c>
    </x:row>
    <x:row r="495">
      <x:c r="A495" t="str">
        <x:v>A-0e966d</x:v>
      </x:c>
      <x:c r="B495" t="str">
        <x:v>Company_493</x:v>
      </x:c>
      <x:c r="C495" t="str">
        <x:v>FinTech</x:v>
      </x:c>
      <x:c r="D495" t="str">
        <x:v>IN</x:v>
      </x:c>
      <x:c r="E495" s="14" t="n">
        <x:v>45468</x:v>
      </x:c>
      <x:c r="F495" t="str">
        <x:v>2024-06</x:v>
      </x:c>
      <x:c r="G495" t="str">
        <x:v>ads</x:v>
      </x:c>
      <x:c r="H495" t="str">
        <x:v>Basic</x:v>
      </x:c>
      <x:c r="I495" t="n">
        <x:v>11</x:v>
      </x:c>
      <x:c r="J495" s="1" t="b">
        <x:v>0</x:v>
      </x:c>
      <x:c r="K495" t="str">
        <x:v>Churned</x:v>
      </x:c>
      <x:c r="L495" t="n">
        <x:v>189</x:v>
      </x:c>
      <x:c r="M495" t="str"/>
      <x:c r="N495" t="n">
        <x:v>0</x:v>
      </x:c>
      <x:c r="O495" t="n">
        <x:v>11</x:v>
      </x:c>
      <x:c r="P495" s="16" t="n">
        <x:v>12236</x:v>
      </x:c>
      <x:c r="Q495" t="n">
        <x:v>0</x:v>
      </x:c>
      <x:c r="R495" t="n">
        <x:v>0</x:v>
      </x:c>
      <x:c r="S495" t="n">
        <x:v>636</x:v>
      </x:c>
      <x:c r="T495" s="18" t="n">
        <x:v>54.9125</x:v>
      </x:c>
      <x:c r="U495" t="n">
        <x:v>34</x:v>
      </x:c>
      <x:c r="V495" t="n">
        <x:v>31</x:v>
      </x:c>
      <x:c r="W495" t="n">
        <x:v>3</x:v>
      </x:c>
      <x:c r="X495" s="18" t="n">
        <x:v>31.666666666666668</x:v>
      </x:c>
      <x:c r="Y495" s="18" t="n">
        <x:v>95.33333333333333</x:v>
      </x:c>
      <x:c r="Z495" s="18" t="n">
        <x:v>4.5</x:v>
      </x:c>
      <x:c r="AA495" t="n">
        <x:v>1</x:v>
      </x:c>
    </x:row>
    <x:row r="496">
      <x:c r="A496" t="str">
        <x:v>A-b9f5b1</x:v>
      </x:c>
      <x:c r="B496" t="str">
        <x:v>Company_494</x:v>
      </x:c>
      <x:c r="C496" t="str">
        <x:v>Cybersecurity</x:v>
      </x:c>
      <x:c r="D496" t="str">
        <x:v>US</x:v>
      </x:c>
      <x:c r="E496" s="14" t="n">
        <x:v>44950</x:v>
      </x:c>
      <x:c r="F496" t="str">
        <x:v>2023-01</x:v>
      </x:c>
      <x:c r="G496" t="str">
        <x:v>other</x:v>
      </x:c>
      <x:c r="H496" t="str">
        <x:v>Pro</x:v>
      </x:c>
      <x:c r="I496" t="n">
        <x:v>15</x:v>
      </x:c>
      <x:c r="J496" s="1" t="b">
        <x:v>1</x:v>
      </x:c>
      <x:c r="K496" t="str">
        <x:v>Active</x:v>
      </x:c>
      <x:c r="L496" t="n">
        <x:v>707</x:v>
      </x:c>
      <x:c r="M496" t="str"/>
      <x:c r="N496" t="n">
        <x:v>1</x:v>
      </x:c>
      <x:c r="O496" t="n">
        <x:v>7</x:v>
      </x:c>
      <x:c r="P496" s="16" t="n">
        <x:v>7072</x:v>
      </x:c>
      <x:c r="Q496" t="n">
        <x:v>0</x:v>
      </x:c>
      <x:c r="R496" t="n">
        <x:v>0</x:v>
      </x:c>
      <x:c r="S496" t="n">
        <x:v>307</x:v>
      </x:c>
      <x:c r="T496" s="18" t="n">
        <x:v>25.16</x:v>
      </x:c>
      <x:c r="U496" t="n">
        <x:v>12</x:v>
      </x:c>
      <x:c r="V496" t="n">
        <x:v>21</x:v>
      </x:c>
      <x:c r="W496" t="n">
        <x:v>6</x:v>
      </x:c>
      <x:c r="X496" s="18" t="n">
        <x:v>31.833333333333332</x:v>
      </x:c>
      <x:c r="Y496" s="18" t="n">
        <x:v>75.66666666666667</x:v>
      </x:c>
      <x:c r="Z496" s="18" t="n">
        <x:v>3.3333333333333335</x:v>
      </x:c>
      <x:c r="AA496" t="n">
        <x:v>1</x:v>
      </x:c>
    </x:row>
    <x:row r="497">
      <x:c r="A497" t="str">
        <x:v>A-8ae3fc</x:v>
      </x:c>
      <x:c r="B497" t="str">
        <x:v>Company_495</x:v>
      </x:c>
      <x:c r="C497" t="str">
        <x:v>DevTools</x:v>
      </x:c>
      <x:c r="D497" t="str">
        <x:v>CA</x:v>
      </x:c>
      <x:c r="E497" s="14" t="n">
        <x:v>45471</x:v>
      </x:c>
      <x:c r="F497" t="str">
        <x:v>2024-06</x:v>
      </x:c>
      <x:c r="G497" t="str">
        <x:v>ads</x:v>
      </x:c>
      <x:c r="H497" t="str">
        <x:v>Pro</x:v>
      </x:c>
      <x:c r="I497" t="n">
        <x:v>9</x:v>
      </x:c>
      <x:c r="J497" s="1" t="b">
        <x:v>0</x:v>
      </x:c>
      <x:c r="K497" t="str">
        <x:v>Active</x:v>
      </x:c>
      <x:c r="L497" t="n">
        <x:v>186</x:v>
      </x:c>
      <x:c r="M497" t="str"/>
      <x:c r="N497" t="n">
        <x:v>1</x:v>
      </x:c>
      <x:c r="O497" t="n">
        <x:v>8</x:v>
      </x:c>
      <x:c r="P497" s="16" t="n">
        <x:v>4447</x:v>
      </x:c>
      <x:c r="Q497" t="n">
        <x:v>0</x:v>
      </x:c>
      <x:c r="R497" t="n">
        <x:v>0</x:v>
      </x:c>
      <x:c r="S497" t="n">
        <x:v>402</x:v>
      </x:c>
      <x:c r="T497" s="18" t="n">
        <x:v>36.178333333333335</x:v>
      </x:c>
      <x:c r="U497" t="n">
        <x:v>30</x:v>
      </x:c>
      <x:c r="V497" t="n">
        <x:v>26</x:v>
      </x:c>
      <x:c r="W497" t="n">
        <x:v>4</x:v>
      </x:c>
      <x:c r="X497" s="18" t="n">
        <x:v>39.5</x:v>
      </x:c>
      <x:c r="Y497" s="18" t="n">
        <x:v>65.5</x:v>
      </x:c>
      <x:c r="Z497" s="18" t="n">
        <x:v>3.5</x:v>
      </x:c>
      <x:c r="AA497" t="n">
        <x:v>0</x:v>
      </x:c>
    </x:row>
    <x:row r="498">
      <x:c r="A498" t="str">
        <x:v>A-55f257</x:v>
      </x:c>
      <x:c r="B498" t="str">
        <x:v>Company_496</x:v>
      </x:c>
      <x:c r="C498" t="str">
        <x:v>FinTech</x:v>
      </x:c>
      <x:c r="D498" t="str">
        <x:v>US</x:v>
      </x:c>
      <x:c r="E498" s="14" t="n">
        <x:v>45281</x:v>
      </x:c>
      <x:c r="F498" t="str">
        <x:v>2023-12</x:v>
      </x:c>
      <x:c r="G498" t="str">
        <x:v>organic</x:v>
      </x:c>
      <x:c r="H498" t="str">
        <x:v>Basic</x:v>
      </x:c>
      <x:c r="I498" t="n">
        <x:v>9</x:v>
      </x:c>
      <x:c r="J498" s="1" t="b">
        <x:v>0</x:v>
      </x:c>
      <x:c r="K498" t="str">
        <x:v>Active</x:v>
      </x:c>
      <x:c r="L498" t="n">
        <x:v>376</x:v>
      </x:c>
      <x:c r="M498" t="str"/>
      <x:c r="N498" t="n">
        <x:v>0</x:v>
      </x:c>
      <x:c r="O498" t="n">
        <x:v>10</x:v>
      </x:c>
      <x:c r="P498" s="16" t="n">
        <x:v>12137</x:v>
      </x:c>
      <x:c r="Q498" t="n">
        <x:v>3</x:v>
      </x:c>
      <x:c r="R498" t="n">
        <x:v>0</x:v>
      </x:c>
      <x:c r="S498" t="n">
        <x:v>476</x:v>
      </x:c>
      <x:c r="T498" s="18" t="n">
        <x:v>40.547777777777775</x:v>
      </x:c>
      <x:c r="U498" t="n">
        <x:v>25</x:v>
      </x:c>
      <x:c r="V498" t="n">
        <x:v>31</x:v>
      </x:c>
      <x:c r="W498" t="n">
        <x:v>6</x:v>
      </x:c>
      <x:c r="X498" s="18" t="n">
        <x:v>43.166666666666664</x:v>
      </x:c>
      <x:c r="Y498" s="18" t="n">
        <x:v>114.5</x:v>
      </x:c>
      <x:c r="Z498" s="18" t="n">
        <x:v>5</x:v>
      </x:c>
      <x:c r="AA498" t="n">
        <x:v>0</x:v>
      </x:c>
    </x:row>
    <x:row r="499">
      <x:c r="A499" t="str">
        <x:v>A-d26ab4</x:v>
      </x:c>
      <x:c r="B499" t="str">
        <x:v>Company_497</x:v>
      </x:c>
      <x:c r="C499" t="str">
        <x:v>DevTools</x:v>
      </x:c>
      <x:c r="D499" t="str">
        <x:v>UK</x:v>
      </x:c>
      <x:c r="E499" s="14" t="n">
        <x:v>45603</x:v>
      </x:c>
      <x:c r="F499" t="str">
        <x:v>2024-11</x:v>
      </x:c>
      <x:c r="G499" t="str">
        <x:v>organic</x:v>
      </x:c>
      <x:c r="H499" t="str">
        <x:v>Basic</x:v>
      </x:c>
      <x:c r="I499" t="n">
        <x:v>9</x:v>
      </x:c>
      <x:c r="J499" s="1" t="b">
        <x:v>0</x:v>
      </x:c>
      <x:c r="K499" t="str">
        <x:v>Churned</x:v>
      </x:c>
      <x:c r="L499" t="n">
        <x:v>49</x:v>
      </x:c>
      <x:c r="M499" t="str">
        <x:v>pricing</x:v>
      </x:c>
      <x:c r="N499" t="n">
        <x:v>1</x:v>
      </x:c>
      <x:c r="O499" t="n">
        <x:v>9</x:v>
      </x:c>
      <x:c r="P499" s="16" t="n">
        <x:v>15731</x:v>
      </x:c>
      <x:c r="Q499" t="n">
        <x:v>0</x:v>
      </x:c>
      <x:c r="R499" t="n">
        <x:v>1</x:v>
      </x:c>
      <x:c r="S499" t="n">
        <x:v>458</x:v>
      </x:c>
      <x:c r="T499" s="18" t="n">
        <x:v>33.716388888888886</x:v>
      </x:c>
      <x:c r="U499" t="n">
        <x:v>24</x:v>
      </x:c>
      <x:c r="V499" t="n">
        <x:v>24</x:v>
      </x:c>
      <x:c r="W499" t="n">
        <x:v>2</x:v>
      </x:c>
      <x:c r="X499" s="18" t="n">
        <x:v>49.5</x:v>
      </x:c>
      <x:c r="Y499" s="18" t="n">
        <x:v>110</x:v>
      </x:c>
      <x:c r="Z499" s="18" t="n">
        <x:v>4</x:v>
      </x:c>
      <x:c r="AA499" t="n">
        <x:v>0</x:v>
      </x:c>
    </x:row>
    <x:row r="500">
      <x:c r="A500" t="str">
        <x:v>A-712533</x:v>
      </x:c>
      <x:c r="B500" t="str">
        <x:v>Company_498</x:v>
      </x:c>
      <x:c r="C500" t="str">
        <x:v>EdTech</x:v>
      </x:c>
      <x:c r="D500" t="str">
        <x:v>US</x:v>
      </x:c>
      <x:c r="E500" s="14" t="n">
        <x:v>45138</x:v>
      </x:c>
      <x:c r="F500" t="str">
        <x:v>2023-07</x:v>
      </x:c>
      <x:c r="G500" t="str">
        <x:v>organic</x:v>
      </x:c>
      <x:c r="H500" t="str">
        <x:v>Pro</x:v>
      </x:c>
      <x:c r="I500" t="n">
        <x:v>18</x:v>
      </x:c>
      <x:c r="J500" s="1" t="b">
        <x:v>0</x:v>
      </x:c>
      <x:c r="K500" t="str">
        <x:v>Active</x:v>
      </x:c>
      <x:c r="L500" t="n">
        <x:v>519</x:v>
      </x:c>
      <x:c r="M500" t="str"/>
      <x:c r="N500" t="n">
        <x:v>1</x:v>
      </x:c>
      <x:c r="O500" t="n">
        <x:v>12</x:v>
      </x:c>
      <x:c r="P500" s="16" t="n">
        <x:v>19382</x:v>
      </x:c>
      <x:c r="Q500" t="n">
        <x:v>1</x:v>
      </x:c>
      <x:c r="R500" t="n">
        <x:v>0</x:v>
      </x:c>
      <x:c r="S500" t="n">
        <x:v>571</x:v>
      </x:c>
      <x:c r="T500" s="18" t="n">
        <x:v>50.01555555555556</x:v>
      </x:c>
      <x:c r="U500" t="n">
        <x:v>35</x:v>
      </x:c>
      <x:c r="V500" t="n">
        <x:v>32</x:v>
      </x:c>
      <x:c r="W500" t="n">
        <x:v>5</x:v>
      </x:c>
      <x:c r="X500" s="18" t="n">
        <x:v>37.4</x:v>
      </x:c>
      <x:c r="Y500" s="18" t="n">
        <x:v>97.2</x:v>
      </x:c>
      <x:c r="Z500" s="18" t="n">
        <x:v>3.75</x:v>
      </x:c>
      <x:c r="AA500" t="n">
        <x:v>0</x:v>
      </x:c>
    </x:row>
    <x:row r="501">
      <x:c r="A501" t="str">
        <x:v>A-781cc0</x:v>
      </x:c>
      <x:c r="B501" t="str">
        <x:v>Company_499</x:v>
      </x:c>
      <x:c r="C501" t="str">
        <x:v>EdTech</x:v>
      </x:c>
      <x:c r="D501" t="str">
        <x:v>US</x:v>
      </x:c>
      <x:c r="E501" s="14" t="n">
        <x:v>45539</x:v>
      </x:c>
      <x:c r="F501" t="str">
        <x:v>2024-09</x:v>
      </x:c>
      <x:c r="G501" t="str">
        <x:v>organic</x:v>
      </x:c>
      <x:c r="H501" t="str">
        <x:v>Pro</x:v>
      </x:c>
      <x:c r="I501" t="n">
        <x:v>12</x:v>
      </x:c>
      <x:c r="J501" s="1" t="b">
        <x:v>0</x:v>
      </x:c>
      <x:c r="K501" t="str">
        <x:v>Active</x:v>
      </x:c>
      <x:c r="L501" t="n">
        <x:v>118</x:v>
      </x:c>
      <x:c r="M501" t="str"/>
      <x:c r="N501" t="n">
        <x:v>2</x:v>
      </x:c>
      <x:c r="O501" t="n">
        <x:v>16</x:v>
      </x:c>
      <x:c r="P501" s="16" t="n">
        <x:v>14555</x:v>
      </x:c>
      <x:c r="Q501" t="n">
        <x:v>2</x:v>
      </x:c>
      <x:c r="R501" t="n">
        <x:v>0</x:v>
      </x:c>
      <x:c r="S501" t="n">
        <x:v>864</x:v>
      </x:c>
      <x:c r="T501" s="18" t="n">
        <x:v>75.00222222222222</x:v>
      </x:c>
      <x:c r="U501" t="n">
        <x:v>42</x:v>
      </x:c>
      <x:c r="V501" t="n">
        <x:v>31</x:v>
      </x:c>
      <x:c r="W501" t="n">
        <x:v>4</x:v>
      </x:c>
      <x:c r="X501" s="18" t="n">
        <x:v>57.5</x:v>
      </x:c>
      <x:c r="Y501" s="18" t="n">
        <x:v>106</x:v>
      </x:c>
      <x:c r="Z501" s="18" t="n">
        <x:v>3.6666666666666665</x:v>
      </x:c>
      <x:c r="AA501" t="n">
        <x:v>0</x:v>
      </x:c>
    </x:row>
  </x:sheetData>
  <x:conditionalFormatting sqref="K2:K501">
    <x:cfRule type="expression" dxfId="1" priority="1">
      <x:formula>K2="Churned"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38685f457d743a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1.25" hidden="0" customWidth="1"/>
    <x:col min="2" max="2" width="14.380000114440918" hidden="0" customWidth="1"/>
    <x:col min="3" max="3" width="18" hidden="0" customWidth="1"/>
    <x:col min="4" max="4" width="14" hidden="0" customWidth="1"/>
  </x:cols>
  <x:sheetData>
    <x:row r="1" ht="20" customHeight="1">
      <x:c r="A1" s="21" t="str">
        <x:v>Churn Reason Deep Dive</x:v>
      </x:c>
      <x:c r="B1" s="21"/>
      <x:c r="C1" s="21"/>
      <x:c r="D1" s="21"/>
      <x:c r="E1" s="21"/>
      <x:c r="F1" s="21"/>
    </x:row>
    <x:row r="2" ht="20" customHeight="1">
      <x:c r="A2" s="21"/>
      <x:c r="B2" s="21"/>
      <x:c r="C2" s="21"/>
      <x:c r="D2" s="21"/>
      <x:c r="E2" s="21"/>
      <x:c r="F2" s="21"/>
    </x:row>
    <x:row r="3" ht="20" customHeight="1"/>
    <x:row r="4" ht="20" customHeight="1">
      <x:c r="A4" s="8" t="str">
        <x:v>Reason</x:v>
      </x:c>
      <x:c r="B4" s="8" t="str">
        <x:v>Churned Accounts</x:v>
      </x:c>
      <x:c r="C4" s="8" t="str">
        <x:v>Share of Current Churn</x:v>
      </x:c>
      <x:c r="D4" s="8" t="str">
        <x:v>Avg Lifetime Days</x:v>
      </x:c>
    </x:row>
    <x:row r="5" ht="20" customHeight="1">
      <x:c r="A5" t="str">
        <x:v>Features</x:v>
      </x:c>
      <x:c r="B5" t="n">
        <x:f>COUNTIF('Account Analysis'!M2:M501,"features")</x:f>
        <x:v>15</x:v>
      </x:c>
      <x:c r="C5" s="118" t="n">
        <x:f>IFERROR(B5/COUNTIF('Account Analysis'!K2:K501,"Churned"),0)</x:f>
        <x:v>0.13636363636363635</x:v>
      </x:c>
      <x:c r="D5" s="122" t="n">
        <x:f>IFERROR(SUMIFS('Account Analysis'!L2:L501,'Account Analysis'!M2:M501,"features")/B5,0)</x:f>
        <x:v>244.93333333333334</x:v>
      </x:c>
    </x:row>
    <x:row r="6" ht="20" customHeight="1">
      <x:c r="A6" t="str">
        <x:v>Support</x:v>
      </x:c>
      <x:c r="B6" t="n">
        <x:f>COUNTIF('Account Analysis'!M2:M501,"support")</x:f>
        <x:v>14</x:v>
      </x:c>
      <x:c r="C6" s="118" t="n">
        <x:f>IFERROR(B6/COUNTIF('Account Analysis'!K2:K501,"Churned"),0)</x:f>
        <x:v>0.12727272727272726</x:v>
      </x:c>
      <x:c r="D6" s="122" t="n">
        <x:f>IFERROR(SUMIFS('Account Analysis'!L2:L501,'Account Analysis'!M2:M501,"support")/B6,0)</x:f>
        <x:v>284.2142857142857</x:v>
      </x:c>
    </x:row>
    <x:row r="7" ht="20" customHeight="1">
      <x:c r="A7" t="str">
        <x:v>Budget</x:v>
      </x:c>
      <x:c r="B7" t="n">
        <x:f>COUNTIF('Account Analysis'!M2:M501,"budget")</x:f>
        <x:v>17</x:v>
      </x:c>
      <x:c r="C7" s="118" t="n">
        <x:f>IFERROR(B7/COUNTIF('Account Analysis'!K2:K501,"Churned"),0)</x:f>
        <x:v>0.15454545454545454</x:v>
      </x:c>
      <x:c r="D7" s="122" t="n">
        <x:f>IFERROR(SUMIFS('Account Analysis'!L2:L501,'Account Analysis'!M2:M501,"budget")/B7,0)</x:f>
        <x:v>221.41176470588235</x:v>
      </x:c>
    </x:row>
    <x:row r="8" ht="20" customHeight="1">
      <x:c r="A8" t="str">
        <x:v>Unknown</x:v>
      </x:c>
      <x:c r="B8" t="n">
        <x:f>COUNTIF('Account Analysis'!M2:M501,"unknown")</x:f>
        <x:v>6</x:v>
      </x:c>
      <x:c r="C8" s="118" t="n">
        <x:f>IFERROR(B8/COUNTIF('Account Analysis'!K2:K501,"Churned"),0)</x:f>
        <x:v>0.05454545454545454</x:v>
      </x:c>
      <x:c r="D8" s="122" t="n">
        <x:f>IFERROR(SUMIFS('Account Analysis'!L2:L501,'Account Analysis'!M2:M501,"unknown")/B8,0)</x:f>
        <x:v>391.6666666666667</x:v>
      </x:c>
    </x:row>
    <x:row r="9" ht="20" customHeight="1">
      <x:c r="A9" t="str">
        <x:v>Competitor</x:v>
      </x:c>
      <x:c r="B9" t="n">
        <x:f>COUNTIF('Account Analysis'!M2:M501,"competitor")</x:f>
        <x:v>7</x:v>
      </x:c>
      <x:c r="C9" s="118" t="n">
        <x:f>IFERROR(B9/COUNTIF('Account Analysis'!K2:K501,"Churned"),0)</x:f>
        <x:v>0.06363636363636363</x:v>
      </x:c>
      <x:c r="D9" s="122" t="n">
        <x:f>IFERROR(SUMIFS('Account Analysis'!L2:L501,'Account Analysis'!M2:M501,"competitor")/B9,0)</x:f>
        <x:v>263.2857142857143</x:v>
      </x:c>
    </x:row>
    <x:row r="10" ht="20" customHeight="1">
      <x:c r="A10" t="str">
        <x:v>Pricing</x:v>
      </x:c>
      <x:c r="B10" t="n">
        <x:f>COUNTIF('Account Analysis'!M2:M501,"pricing")</x:f>
        <x:v>16</x:v>
      </x:c>
      <x:c r="C10" s="118" t="n">
        <x:f>IFERROR(B10/COUNTIF('Account Analysis'!K2:K501,"Churned"),0)</x:f>
        <x:v>0.14545454545454545</x:v>
      </x:c>
      <x:c r="D10" s="122" t="n">
        <x:f>IFERROR(SUMIFS('Account Analysis'!L2:L501,'Account Analysis'!M2:M501,"pricing")/B10,0)</x:f>
        <x:v>190.6875</x:v>
      </x:c>
    </x:row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  <x:row r="61" ht="20" customHeight="1"/>
    <x:row r="62" ht="20" customHeight="1"/>
    <x:row r="63" ht="20" customHeight="1"/>
    <x:row r="64" ht="20" customHeight="1"/>
    <x:row r="65" ht="20" customHeight="1"/>
    <x:row r="66" ht="20" customHeight="1"/>
    <x:row r="67" ht="20" customHeight="1"/>
    <x:row r="68" ht="20" customHeight="1"/>
    <x:row r="69" ht="20" customHeight="1"/>
    <x:row r="70" ht="20" customHeight="1"/>
    <x:row r="71" ht="20" customHeight="1"/>
    <x:row r="72" ht="20" customHeight="1"/>
    <x:row r="73" ht="20" customHeight="1"/>
    <x:row r="74" ht="20" customHeight="1"/>
    <x:row r="75" ht="20" customHeight="1"/>
    <x:row r="76" ht="20" customHeight="1"/>
    <x:row r="77" ht="20" customHeight="1"/>
    <x:row r="78" ht="20" customHeight="1"/>
    <x:row r="79" ht="20" customHeight="1"/>
    <x:row r="80" ht="20" customHeight="1"/>
    <x:row r="81" ht="20" customHeight="1"/>
    <x:row r="82" ht="20" customHeight="1"/>
    <x:row r="83" ht="20" customHeight="1"/>
    <x:row r="84" ht="20" customHeight="1"/>
    <x:row r="85" ht="20" customHeight="1"/>
    <x:row r="86" ht="20" customHeight="1"/>
    <x:row r="87" ht="20" customHeight="1"/>
    <x:row r="88" ht="20" customHeight="1"/>
    <x:row r="89" ht="20" customHeight="1"/>
    <x:row r="90" ht="20" customHeight="1"/>
    <x:row r="91" ht="20" customHeight="1"/>
    <x:row r="92" ht="20" customHeight="1"/>
    <x:row r="93" ht="20" customHeight="1"/>
    <x:row r="94" ht="20" customHeight="1"/>
    <x:row r="95" ht="20" customHeight="1"/>
    <x:row r="96" ht="20" customHeight="1"/>
    <x:row r="97" ht="20" customHeight="1"/>
    <x:row r="98" ht="20" customHeight="1"/>
    <x:row r="99" ht="20" customHeight="1"/>
    <x:row r="100" ht="20" customHeight="1"/>
  </x:sheetData>
  <x:mergeCells>
    <x:mergeCell ref="A1:F2"/>
  </x:mergeCells>
  <x:pageMargins left="0.7" right="0.7" top="0.75" bottom="0.75" header="0.3" footer="0.3"/>
  <x:drawing xmlns:r="http://schemas.openxmlformats.org/officeDocument/2006/relationships" r:id="R801024b77d3c43e5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5" hidden="0" customWidth="1"/>
    <x:col min="3" max="3" width="52" hidden="0" customWidth="1"/>
  </x:cols>
  <x:sheetData>
    <x:row r="1" ht="20" customHeight="1">
      <x:c r="A1" s="124" t="str">
        <x:v>Data Sources &amp; Cleaning Notes</x:v>
      </x:c>
      <x:c r="B1" s="124"/>
      <x:c r="C1" s="21"/>
      <x:c r="D1" s="21"/>
      <x:c r="E1" s="21"/>
      <x:c r="F1" s="21"/>
    </x:row>
    <x:row r="2" ht="20" customHeight="1">
      <x:c r="A2" s="21"/>
      <x:c r="B2" s="21"/>
      <x:c r="C2" s="21"/>
      <x:c r="D2" s="21"/>
      <x:c r="E2" s="21"/>
      <x:c r="F2" s="21"/>
    </x:row>
    <x:row r="3" ht="20" customHeight="1"/>
    <x:row r="4" ht="20" customHeight="1">
      <x:c r="A4" s="8" t="str">
        <x:v>Dataset</x:v>
      </x:c>
      <x:c r="B4" s="8" t="str">
        <x:v>Rows</x:v>
      </x:c>
      <x:c r="C4" s="8" t="str">
        <x:v>Role in analysis</x:v>
      </x:c>
    </x:row>
    <x:row r="5" ht="20" customHeight="1">
      <x:c r="A5" t="str">
        <x:v>Accounts</x:v>
      </x:c>
      <x:c r="B5" t="n">
        <x:v>500</x:v>
      </x:c>
      <x:c r="C5" t="str">
        <x:v>Customer attributes, signup cohort, current churn flag</x:v>
      </x:c>
    </x:row>
    <x:row r="6" ht="20" customHeight="1">
      <x:c r="A6" t="str">
        <x:v>Subscriptions</x:v>
      </x:c>
      <x:c r="B6" t="n">
        <x:v>5000</x:v>
      </x:c>
      <x:c r="C6" t="str">
        <x:v>Plans, MRR, upgrades/downgrades, subscription history</x:v>
      </x:c>
    </x:row>
    <x:row r="7" ht="20" customHeight="1">
      <x:c r="A7" t="str">
        <x:v>Feature Usage</x:v>
      </x:c>
      <x:c r="B7" t="n">
        <x:v>25000</x:v>
      </x:c>
      <x:c r="C7" t="str">
        <x:v>Engagement, feature breadth, errors, usage duration</x:v>
      </x:c>
    </x:row>
    <x:row r="8" ht="20" customHeight="1">
      <x:c r="A8" t="str">
        <x:v>Churn Events</x:v>
      </x:c>
      <x:c r="B8" t="n">
        <x:v>600</x:v>
      </x:c>
      <x:c r="C8" t="str">
        <x:v>Churn reasons, churn dates, reactivation context</x:v>
      </x:c>
    </x:row>
    <x:row r="9" ht="20" customHeight="1">
      <x:c r="A9" t="str">
        <x:v>Support Tickets</x:v>
      </x:c>
      <x:c r="B9" t="n">
        <x:v>2000</x:v>
      </x:c>
      <x:c r="C9" t="str">
        <x:v>Ticket volume, response/resolution, satisfaction, escalations</x:v>
      </x:c>
    </x:row>
    <x:row r="10" ht="20" customHeight="1"/>
    <x:row r="11" ht="20" customHeight="1"/>
    <x:row r="12" ht="20" customHeight="1">
      <x:c r="A12" s="8" t="str">
        <x:v>Cleaning / modeling decision</x:v>
      </x:c>
      <x:c r="B12" s="8" t="str">
        <x:v>Implementation</x:v>
      </x:c>
      <x:c r="C12" s="8" t="str"/>
      <x:c r="D12" s="8" t="str"/>
      <x:c r="E12" s="8" t="str"/>
      <x:c r="F12" s="8" t="str"/>
    </x:row>
    <x:row r="13" ht="20" customHeight="1">
      <x:c r="A13" t="str">
        <x:v>Analysis grain</x:v>
      </x:c>
      <x:c r="B13" t="str">
        <x:v>One row per account in Account Analysis.</x:v>
      </x:c>
    </x:row>
    <x:row r="14" ht="20" customHeight="1">
      <x:c r="A14" t="str">
        <x:v>Analysis date</x:v>
      </x:c>
      <x:c r="B14" t="str">
        <x:v>2024-12-31</x:v>
      </x:c>
    </x:row>
    <x:row r="15" ht="20" customHeight="1">
      <x:c r="A15" t="str">
        <x:v>Boolean normalization</x:v>
      </x:c>
      <x:c r="B15" t="str">
        <x:v>True/False strings standardized to workbook booleans.</x:v>
      </x:c>
    </x:row>
    <x:row r="16" ht="20" customHeight="1">
      <x:c r="A16" t="str">
        <x:v>Lifetime</x:v>
      </x:c>
      <x:c r="B16" t="str">
        <x:v>Signup date to latest churn date for current churners; otherwise to analysis date.</x:v>
      </x:c>
    </x:row>
    <x:row r="17" ht="20" customHeight="1">
      <x:c r="A17" t="str">
        <x:v>Engagement</x:v>
      </x:c>
      <x:c r="B17" t="str">
        <x:v>Feature usage aggregated from subscription to account level.</x:v>
      </x:c>
    </x:row>
    <x:row r="18" ht="20" customHeight="1">
      <x:c r="A18" t="str">
        <x:v>Support</x:v>
      </x:c>
      <x:c r="B18" t="str">
        <x:v>Ticket metrics aggregated to account averages / counts.</x:v>
      </x:c>
    </x:row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  <x:row r="61" ht="20" customHeight="1"/>
    <x:row r="62" ht="20" customHeight="1"/>
    <x:row r="63" ht="20" customHeight="1"/>
    <x:row r="64" ht="20" customHeight="1"/>
    <x:row r="65" ht="20" customHeight="1"/>
    <x:row r="66" ht="20" customHeight="1"/>
    <x:row r="67" ht="20" customHeight="1"/>
    <x:row r="68" ht="20" customHeight="1"/>
    <x:row r="69" ht="20" customHeight="1"/>
    <x:row r="70" ht="20" customHeight="1"/>
    <x:row r="71" ht="20" customHeight="1"/>
    <x:row r="72" ht="20" customHeight="1"/>
    <x:row r="73" ht="20" customHeight="1"/>
    <x:row r="74" ht="20" customHeight="1"/>
    <x:row r="75" ht="20" customHeight="1"/>
    <x:row r="76" ht="20" customHeight="1"/>
    <x:row r="77" ht="20" customHeight="1"/>
    <x:row r="78" ht="20" customHeight="1"/>
    <x:row r="79" ht="20" customHeight="1"/>
    <x:row r="80" ht="20" customHeight="1"/>
    <x:row r="81" ht="20" customHeight="1"/>
    <x:row r="82" ht="20" customHeight="1"/>
    <x:row r="83" ht="20" customHeight="1"/>
    <x:row r="84" ht="20" customHeight="1"/>
    <x:row r="85" ht="20" customHeight="1"/>
    <x:row r="86" ht="20" customHeight="1"/>
    <x:row r="87" ht="20" customHeight="1"/>
    <x:row r="88" ht="20" customHeight="1"/>
    <x:row r="89" ht="20" customHeight="1"/>
    <x:row r="90" ht="20" customHeight="1"/>
    <x:row r="91" ht="20" customHeight="1"/>
    <x:row r="92" ht="20" customHeight="1"/>
    <x:row r="93" ht="20" customHeight="1"/>
    <x:row r="94" ht="20" customHeight="1"/>
    <x:row r="95" ht="20" customHeight="1"/>
    <x:row r="96" ht="20" customHeight="1"/>
    <x:row r="97" ht="20" customHeight="1"/>
    <x:row r="98" ht="20" customHeight="1"/>
    <x:row r="99" ht="20" customHeight="1"/>
    <x:row r="100" ht="20" customHeight="1"/>
  </x:sheetData>
  <x:mergeCells>
    <x:mergeCell ref="A1:F2"/>
  </x:mergeCells>
  <x:pageMargins left="0.7" right="0.7" top="0.75" bottom="0.75" header="0.3" footer="0.3"/>
</x:worksheet>
</file>